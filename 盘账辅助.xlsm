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xy\Desktop\"/>
    </mc:Choice>
  </mc:AlternateContent>
  <xr:revisionPtr revIDLastSave="0" documentId="8_{25745FD8-9E0E-4A49-BB20-AA470B12E1F9}" xr6:coauthVersionLast="47" xr6:coauthVersionMax="47" xr10:uidLastSave="{00000000-0000-0000-0000-000000000000}"/>
  <bookViews>
    <workbookView xWindow="-120" yWindow="-120" windowWidth="38640" windowHeight="21120" tabRatio="885" activeTab="1" xr2:uid="{2A484B36-E48E-48C4-8C6F-1AD27BF12F2A}"/>
  </bookViews>
  <sheets>
    <sheet name="月初" sheetId="9" r:id="rId1"/>
    <sheet name="now" sheetId="13" r:id="rId2"/>
    <sheet name="26.3" sheetId="41" r:id="rId3"/>
    <sheet name="26.2" sheetId="40" r:id="rId4"/>
    <sheet name="26.1" sheetId="39" r:id="rId5"/>
    <sheet name="25.12" sheetId="38" r:id="rId6"/>
    <sheet name="25.11" sheetId="37" r:id="rId7"/>
    <sheet name="25.10" sheetId="36" r:id="rId8"/>
    <sheet name="25.9" sheetId="35" r:id="rId9"/>
    <sheet name="25.8" sheetId="34" r:id="rId10"/>
    <sheet name="25.7" sheetId="33" r:id="rId11"/>
    <sheet name="25.6" sheetId="32" r:id="rId12"/>
    <sheet name="25.5" sheetId="20" r:id="rId13"/>
    <sheet name="25.4" sheetId="22" r:id="rId14"/>
    <sheet name="25.3" sheetId="21" r:id="rId15"/>
    <sheet name="25.2" sheetId="18" r:id="rId16"/>
    <sheet name="25.1" sheetId="11" r:id="rId17"/>
    <sheet name="24.12" sheetId="10" r:id="rId18"/>
    <sheet name="24.11" sheetId="8" r:id="rId19"/>
    <sheet name="24.10" sheetId="7" r:id="rId20"/>
    <sheet name="24.9" sheetId="23" r:id="rId21"/>
    <sheet name="24.8" sheetId="24" r:id="rId22"/>
    <sheet name="24.7" sheetId="25" r:id="rId23"/>
    <sheet name="24.6" sheetId="26" r:id="rId24"/>
    <sheet name="24.5" sheetId="27" r:id="rId25"/>
    <sheet name="24.4" sheetId="28" r:id="rId26"/>
    <sheet name="24.3" sheetId="29" r:id="rId27"/>
    <sheet name="24.2" sheetId="30" r:id="rId28"/>
    <sheet name="24.1" sheetId="31" r:id="rId29"/>
    <sheet name="年" sheetId="12" r:id="rId30"/>
    <sheet name="24" sheetId="16" state="hidden" r:id="rId31"/>
    <sheet name="23" sheetId="5" state="hidden" r:id="rId32"/>
  </sheets>
  <functionGroups builtInGroupCount="19"/>
  <definedNames>
    <definedName name="_xlnm._FilterDatabase" localSheetId="5" hidden="1">'25.12'!$A$16:$C$16</definedName>
    <definedName name="_xlnm._FilterDatabase" localSheetId="4" hidden="1">'26.1'!$A$16:$C$16</definedName>
    <definedName name="_xlnm._FilterDatabase" localSheetId="3" hidden="1">'26.2'!$A$16:$C$16</definedName>
    <definedName name="_xlnm._FilterDatabase" localSheetId="2" hidden="1">'26.3'!$A$16:$C$16</definedName>
    <definedName name="_xlnm._FilterDatabase" localSheetId="1" hidden="1">now!$W$34:$AN$34</definedName>
    <definedName name="_xleta.CEILING" hidden="1" xlm="1">#NAME?</definedName>
    <definedName name="_xleta.FLOOR" hidden="1" xlm="1">#NAME?</definedName>
    <definedName name="_xleta.FLOOR.MATH" hidden="1" xlm="1">#NAME?</definedName>
    <definedName name="_xleta.MAX" hidden="1" xlm="1">#NAME?</definedName>
    <definedName name="_xleta.NOW" hidden="1" xlm="1">#NAME?</definedName>
    <definedName name="_xleta.SUM" hidden="1" xlm="1">#NAME?</definedName>
    <definedName name="_xleta.TODAY" hidden="1" xlm="1">#NAME?</definedName>
    <definedName name="CalendarYear" localSheetId="7">#REF!</definedName>
    <definedName name="CalendarYear" localSheetId="6">#REF!</definedName>
    <definedName name="CalendarYear" localSheetId="5">#REF!</definedName>
    <definedName name="CalendarYear" localSheetId="15">#REF!</definedName>
    <definedName name="CalendarYear" localSheetId="12">#REF!</definedName>
    <definedName name="CalendarYear" localSheetId="11">#REF!</definedName>
    <definedName name="CalendarYear" localSheetId="10">#REF!</definedName>
    <definedName name="CalendarYear" localSheetId="9">#REF!</definedName>
    <definedName name="CalendarYear" localSheetId="8">#REF!</definedName>
    <definedName name="CalendarYear" localSheetId="4">#REF!</definedName>
    <definedName name="CalendarYear" localSheetId="3">'26.2'!#REF!</definedName>
    <definedName name="CalendarYear" localSheetId="2">'26.3'!#REF!</definedName>
    <definedName name="CalendarYear">#REF!</definedName>
    <definedName name="DaysAndWeeks" localSheetId="7">{0,1,2,3,4,5,6} + {0;1;2;3;4;5}*7</definedName>
    <definedName name="DaysAndWeeks" localSheetId="6">{0,1,2,3,4,5,6} + {0;1;2;3;4;5}*7</definedName>
    <definedName name="DaysAndWeeks" localSheetId="5">{0,1,2,3,4,5,6} + {0;1;2;3;4;5}*7</definedName>
    <definedName name="DaysAndWeeks" localSheetId="15">{0,1,2,3,4,5,6} + {0;1;2;3;4;5}*7</definedName>
    <definedName name="DaysAndWeeks" localSheetId="12">{0,1,2,3,4,5,6} + {0;1;2;3;4;5}*7</definedName>
    <definedName name="DaysAndWeeks" localSheetId="11">{0,1,2,3,4,5,6} + {0;1;2;3;4;5}*7</definedName>
    <definedName name="DaysAndWeeks" localSheetId="10">{0,1,2,3,4,5,6} + {0;1;2;3;4;5}*7</definedName>
    <definedName name="DaysAndWeeks" localSheetId="9">{0,1,2,3,4,5,6} + {0;1;2;3;4;5}*7</definedName>
    <definedName name="DaysAndWeeks" localSheetId="8">{0,1,2,3,4,5,6} + {0;1;2;3;4;5}*7</definedName>
    <definedName name="DaysAndWeeks" localSheetId="4">{0,1,2,3,4,5,6} + {0;1;2;3;4;5}*7</definedName>
    <definedName name="DaysAndWeeks" localSheetId="3">{0,1,2,3,4,5,6} + {0;1;2;3;4;5}*7</definedName>
    <definedName name="DaysAndWeeks" localSheetId="2">{0,1,2,3,4,5,6} + {0;1;2;3;4;5}*7</definedName>
    <definedName name="DaysAndWeeks">{0,1,2,3,4,5,6} + {0;1;2;3;4;5}*7</definedName>
    <definedName name="WeekStart" localSheetId="7">#REF!</definedName>
    <definedName name="WeekStart" localSheetId="6">#REF!</definedName>
    <definedName name="WeekStart" localSheetId="5">#REF!</definedName>
    <definedName name="WeekStart" localSheetId="15">#REF!</definedName>
    <definedName name="WeekStart" localSheetId="12">#REF!</definedName>
    <definedName name="WeekStart" localSheetId="11">#REF!</definedName>
    <definedName name="WeekStart" localSheetId="10">#REF!</definedName>
    <definedName name="WeekStart" localSheetId="9">#REF!</definedName>
    <definedName name="WeekStart" localSheetId="8">#REF!</definedName>
    <definedName name="WeekStart" localSheetId="4">#REF!</definedName>
    <definedName name="WeekStart" localSheetId="3">'26.2'!#REF!</definedName>
    <definedName name="WeekStart" localSheetId="2">'26.3'!#REF!</definedName>
    <definedName name="WeekStar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9" l="1"/>
  <c r="G11" i="9"/>
  <c r="B4" i="9"/>
  <c r="C17" i="41"/>
  <c r="AD45" i="13"/>
  <c r="AE45" i="13"/>
  <c r="AF45" i="13"/>
  <c r="AH45" i="13"/>
  <c r="AJ45" i="13"/>
  <c r="AI45" i="13"/>
  <c r="O14" i="12"/>
  <c r="O15" i="12"/>
  <c r="Y67" i="13"/>
  <c r="AI57" i="13"/>
  <c r="AI58" i="13"/>
  <c r="AI59" i="13"/>
  <c r="AI60" i="13"/>
  <c r="AI61" i="13"/>
  <c r="AI62" i="13"/>
  <c r="AI63" i="13"/>
  <c r="AI64" i="13"/>
  <c r="AI65" i="13"/>
  <c r="AI66" i="13"/>
  <c r="AI67" i="13"/>
  <c r="AD67" i="13"/>
  <c r="AK67" i="13"/>
  <c r="AL67" i="13"/>
  <c r="AN67" i="13"/>
  <c r="Q13" i="12" a="1"/>
  <c r="Q13" i="12" s="1"/>
  <c r="Q11" i="12" s="1"/>
  <c r="P13" i="12" a="1"/>
  <c r="P13" i="12" s="1"/>
  <c r="L18" i="13"/>
  <c r="M18" i="13"/>
  <c r="W6" i="12" s="1"/>
  <c r="N18" i="13"/>
  <c r="B6" i="41"/>
  <c r="B3" i="41"/>
  <c r="K9" i="41"/>
  <c r="B8" i="41"/>
  <c r="F6" i="41"/>
  <c r="F7" i="41"/>
  <c r="D7" i="41"/>
  <c r="D5" i="41"/>
  <c r="B7" i="41"/>
  <c r="D6" i="41"/>
  <c r="F4" i="41"/>
  <c r="D4" i="41"/>
  <c r="D3" i="41"/>
  <c r="F2" i="41"/>
  <c r="D2" i="41"/>
  <c r="B2" i="41"/>
  <c r="K1" i="41"/>
  <c r="AK45" i="13"/>
  <c r="AL45" i="13"/>
  <c r="AN45" i="13"/>
  <c r="AG45" i="13"/>
  <c r="H19" i="9"/>
  <c r="O11" i="41"/>
  <c r="O13" i="41"/>
  <c r="M1" i="41"/>
  <c r="M9" i="41"/>
  <c r="B4" i="41"/>
  <c r="O9" i="41"/>
  <c r="C8" i="41"/>
  <c r="D13" i="41"/>
  <c r="K13" i="13"/>
  <c r="B2" i="9" s="1"/>
  <c r="B2" i="40"/>
  <c r="D2" i="40"/>
  <c r="F2" i="40"/>
  <c r="B3" i="40"/>
  <c r="D3" i="40"/>
  <c r="K9" i="40"/>
  <c r="D4" i="40"/>
  <c r="F4" i="40"/>
  <c r="D5" i="40"/>
  <c r="B6" i="40"/>
  <c r="M1" i="40"/>
  <c r="D6" i="40"/>
  <c r="B7" i="40"/>
  <c r="D7" i="40"/>
  <c r="F7" i="40"/>
  <c r="B8" i="40"/>
  <c r="F6" i="40"/>
  <c r="P22" i="13"/>
  <c r="P21" i="13"/>
  <c r="P20" i="13"/>
  <c r="P19" i="13"/>
  <c r="P16" i="13"/>
  <c r="M16" i="13" s="1"/>
  <c r="W7" i="12"/>
  <c r="W8" i="12"/>
  <c r="W9" i="12"/>
  <c r="M4" i="13"/>
  <c r="M5" i="13"/>
  <c r="M6" i="13"/>
  <c r="M7" i="13"/>
  <c r="M8" i="13"/>
  <c r="M9" i="13"/>
  <c r="M3" i="13"/>
  <c r="A20" i="9"/>
  <c r="F26" i="9"/>
  <c r="C27" i="9"/>
  <c r="N17" i="13"/>
  <c r="F6" i="39"/>
  <c r="B4" i="39"/>
  <c r="B8" i="39"/>
  <c r="F7" i="39"/>
  <c r="D7" i="39"/>
  <c r="B7" i="39"/>
  <c r="D6" i="39"/>
  <c r="B6" i="39"/>
  <c r="F4" i="39"/>
  <c r="D4" i="39"/>
  <c r="D3" i="39"/>
  <c r="K9" i="39"/>
  <c r="B3" i="39"/>
  <c r="F2" i="39"/>
  <c r="D2" i="39"/>
  <c r="B2" i="39"/>
  <c r="O11" i="39"/>
  <c r="O13" i="39"/>
  <c r="AN33" i="13"/>
  <c r="T4" i="12"/>
  <c r="C1" i="9" s="1"/>
  <c r="O13" i="13"/>
  <c r="P13" i="13"/>
  <c r="Q13" i="13"/>
  <c r="L13" i="13"/>
  <c r="M13" i="13"/>
  <c r="P27" i="13"/>
  <c r="AM49" i="13" s="1"/>
  <c r="AL49" i="13" s="1"/>
  <c r="AN49" i="13" s="1"/>
  <c r="AM47" i="13"/>
  <c r="P15" i="13"/>
  <c r="W3" i="12"/>
  <c r="T1" i="12"/>
  <c r="AD65" i="13"/>
  <c r="AE65" i="13"/>
  <c r="AG65" i="13"/>
  <c r="AD66" i="13"/>
  <c r="AE66" i="13"/>
  <c r="AG66" i="13"/>
  <c r="AD51" i="13"/>
  <c r="AE51" i="13"/>
  <c r="AG51" i="13"/>
  <c r="AD52" i="13"/>
  <c r="AE52" i="13"/>
  <c r="AG52" i="13"/>
  <c r="AD53" i="13"/>
  <c r="AE53" i="13"/>
  <c r="AG53" i="13"/>
  <c r="AD54" i="13"/>
  <c r="AE54" i="13"/>
  <c r="AG54" i="13"/>
  <c r="AI54" i="13"/>
  <c r="AD55" i="13"/>
  <c r="AE55" i="13"/>
  <c r="AG55" i="13"/>
  <c r="AI55" i="13"/>
  <c r="AD56" i="13"/>
  <c r="AI56" i="13"/>
  <c r="AD57" i="13"/>
  <c r="AE57" i="13"/>
  <c r="AG57" i="13"/>
  <c r="AD58" i="13"/>
  <c r="AE58" i="13"/>
  <c r="AG58" i="13"/>
  <c r="AD59" i="13"/>
  <c r="AE59" i="13"/>
  <c r="AG59" i="13"/>
  <c r="AD60" i="13"/>
  <c r="AE60" i="13"/>
  <c r="AG60" i="13"/>
  <c r="AD61" i="13"/>
  <c r="AE61" i="13"/>
  <c r="AG61" i="13"/>
  <c r="AD62" i="13"/>
  <c r="AE62" i="13"/>
  <c r="AG62" i="13"/>
  <c r="AD63" i="13"/>
  <c r="AE63" i="13"/>
  <c r="AG63" i="13"/>
  <c r="AD64" i="13"/>
  <c r="AE64" i="13"/>
  <c r="AG64" i="13"/>
  <c r="AD32" i="13"/>
  <c r="AG32" i="13"/>
  <c r="AI32" i="13"/>
  <c r="AK32" i="13"/>
  <c r="AL32" i="13"/>
  <c r="AN32" i="13"/>
  <c r="AD35" i="13"/>
  <c r="AE35" i="13"/>
  <c r="AG35" i="13"/>
  <c r="AI35" i="13"/>
  <c r="AK35" i="13"/>
  <c r="AD36" i="13"/>
  <c r="AE36" i="13"/>
  <c r="AG36" i="13"/>
  <c r="AD37" i="13"/>
  <c r="AE37" i="13"/>
  <c r="AG37" i="13"/>
  <c r="AI37" i="13"/>
  <c r="AK37" i="13"/>
  <c r="AL37" i="13"/>
  <c r="AN37" i="13"/>
  <c r="AD38" i="13"/>
  <c r="AE38" i="13"/>
  <c r="AG38" i="13"/>
  <c r="AI38" i="13"/>
  <c r="AK38" i="13"/>
  <c r="AL38" i="13"/>
  <c r="AN38" i="13"/>
  <c r="AD39" i="13"/>
  <c r="AE39" i="13"/>
  <c r="AG39" i="13"/>
  <c r="AI39" i="13"/>
  <c r="AK39" i="13"/>
  <c r="AL39" i="13"/>
  <c r="AN39" i="13"/>
  <c r="AD40" i="13"/>
  <c r="AE40" i="13"/>
  <c r="AG40" i="13"/>
  <c r="AI40" i="13"/>
  <c r="AK40" i="13"/>
  <c r="AL40" i="13"/>
  <c r="AN40" i="13"/>
  <c r="AD41" i="13"/>
  <c r="AE41" i="13"/>
  <c r="AG41" i="13"/>
  <c r="AI41" i="13"/>
  <c r="AK41" i="13"/>
  <c r="AL41" i="13"/>
  <c r="AN41" i="13"/>
  <c r="AD42" i="13"/>
  <c r="AE42" i="13"/>
  <c r="AG42" i="13"/>
  <c r="AI42" i="13"/>
  <c r="AK42" i="13"/>
  <c r="AL42" i="13"/>
  <c r="AN42" i="13"/>
  <c r="AD43" i="13"/>
  <c r="AE43" i="13"/>
  <c r="AG43" i="13"/>
  <c r="AI43" i="13"/>
  <c r="AK43" i="13"/>
  <c r="AD44" i="13"/>
  <c r="AE44" i="13"/>
  <c r="AG44" i="13"/>
  <c r="AI44" i="13"/>
  <c r="AK44" i="13"/>
  <c r="AD46" i="13"/>
  <c r="AE46" i="13"/>
  <c r="AG46" i="13"/>
  <c r="AI46" i="13"/>
  <c r="AK46" i="13"/>
  <c r="AL46" i="13"/>
  <c r="AN46" i="13"/>
  <c r="AA47" i="13"/>
  <c r="AB47" i="13"/>
  <c r="AI47" i="13"/>
  <c r="AD48" i="13"/>
  <c r="AE48" i="13"/>
  <c r="AG48" i="13"/>
  <c r="AD49" i="13"/>
  <c r="AE49" i="13"/>
  <c r="AG49" i="13"/>
  <c r="AI49" i="13"/>
  <c r="AK49" i="13"/>
  <c r="AD50" i="13"/>
  <c r="AE50" i="13"/>
  <c r="AG50" i="13"/>
  <c r="AJ50" i="13"/>
  <c r="AI50" i="13"/>
  <c r="AJ51" i="13"/>
  <c r="AK51" i="13"/>
  <c r="AJ52" i="13"/>
  <c r="AI52" i="13"/>
  <c r="AJ53" i="13"/>
  <c r="AK53" i="13"/>
  <c r="AK54" i="13"/>
  <c r="AK55" i="13"/>
  <c r="Y56" i="13"/>
  <c r="AK56" i="13"/>
  <c r="AL56" i="13"/>
  <c r="AN56" i="13"/>
  <c r="AK57" i="13"/>
  <c r="AL57" i="13"/>
  <c r="AN57" i="13"/>
  <c r="AK58" i="13"/>
  <c r="AL58" i="13"/>
  <c r="AN58" i="13"/>
  <c r="AK59" i="13"/>
  <c r="AL59" i="13"/>
  <c r="AN59" i="13"/>
  <c r="AK60" i="13"/>
  <c r="AL60" i="13"/>
  <c r="AN60" i="13"/>
  <c r="AK61" i="13"/>
  <c r="AL61" i="13"/>
  <c r="AN61" i="13"/>
  <c r="AK62" i="13"/>
  <c r="AL62" i="13"/>
  <c r="AN62" i="13"/>
  <c r="AK63" i="13"/>
  <c r="AL63" i="13"/>
  <c r="AN63" i="13"/>
  <c r="AK64" i="13"/>
  <c r="AL64" i="13"/>
  <c r="AN64" i="13"/>
  <c r="AK65" i="13"/>
  <c r="AL65" i="13"/>
  <c r="AN65" i="13"/>
  <c r="AK66" i="13"/>
  <c r="AL66" i="13"/>
  <c r="AN66" i="13"/>
  <c r="L2" i="12"/>
  <c r="S4" i="12"/>
  <c r="L17" i="13"/>
  <c r="Q4" i="12"/>
  <c r="O4" i="12"/>
  <c r="K4" i="12"/>
  <c r="M2" i="12"/>
  <c r="AF32" i="13"/>
  <c r="AF34" i="13"/>
  <c r="B8" i="38"/>
  <c r="F7" i="38"/>
  <c r="D7" i="38"/>
  <c r="B7" i="38"/>
  <c r="D6" i="38"/>
  <c r="D5" i="38"/>
  <c r="B6" i="38"/>
  <c r="B4" i="38"/>
  <c r="F4" i="38"/>
  <c r="D4" i="38"/>
  <c r="M1" i="38"/>
  <c r="M9" i="38"/>
  <c r="D3" i="38"/>
  <c r="K9" i="38"/>
  <c r="B3" i="38"/>
  <c r="F2" i="38"/>
  <c r="D2" i="38"/>
  <c r="B2" i="38"/>
  <c r="L9" i="37"/>
  <c r="L10" i="37"/>
  <c r="L11" i="37"/>
  <c r="L12" i="37"/>
  <c r="L13" i="37"/>
  <c r="L14" i="37"/>
  <c r="L15" i="37"/>
  <c r="L16" i="37"/>
  <c r="W10" i="12"/>
  <c r="B8" i="37"/>
  <c r="F7" i="37"/>
  <c r="F6" i="37"/>
  <c r="D7" i="37"/>
  <c r="D5" i="37"/>
  <c r="B7" i="37"/>
  <c r="D6" i="37"/>
  <c r="B6" i="37"/>
  <c r="B29" i="37"/>
  <c r="B5" i="37"/>
  <c r="F4" i="37"/>
  <c r="D4" i="37"/>
  <c r="D3" i="37"/>
  <c r="B18" i="37"/>
  <c r="B3" i="37"/>
  <c r="F2" i="37"/>
  <c r="D2" i="37"/>
  <c r="B2" i="37"/>
  <c r="F29" i="37"/>
  <c r="D4" i="36"/>
  <c r="B13" i="36"/>
  <c r="F2" i="36"/>
  <c r="F3" i="36"/>
  <c r="F4" i="36"/>
  <c r="D2" i="36"/>
  <c r="B2" i="36"/>
  <c r="D3" i="36"/>
  <c r="H10" i="36"/>
  <c r="B5" i="36"/>
  <c r="F7" i="36"/>
  <c r="D6" i="36"/>
  <c r="D5" i="36"/>
  <c r="C8" i="36"/>
  <c r="E10" i="36"/>
  <c r="D7" i="36"/>
  <c r="B8" i="36"/>
  <c r="B7" i="36"/>
  <c r="B6" i="36"/>
  <c r="B3" i="36"/>
  <c r="B25" i="9"/>
  <c r="B23" i="9"/>
  <c r="H6" i="35"/>
  <c r="K5" i="35"/>
  <c r="F2" i="35"/>
  <c r="B4" i="35"/>
  <c r="F6" i="35"/>
  <c r="J6" i="35"/>
  <c r="J7" i="35"/>
  <c r="H8" i="35"/>
  <c r="H7" i="35"/>
  <c r="J9" i="13"/>
  <c r="H26" i="9"/>
  <c r="J7" i="13"/>
  <c r="H24" i="9"/>
  <c r="J8" i="13"/>
  <c r="H25" i="9"/>
  <c r="J4" i="13"/>
  <c r="H21" i="9"/>
  <c r="J5" i="13"/>
  <c r="H22" i="9"/>
  <c r="J6" i="13"/>
  <c r="H23" i="9"/>
  <c r="J3" i="13"/>
  <c r="H20" i="9"/>
  <c r="D5" i="35"/>
  <c r="C8" i="35"/>
  <c r="C8" i="34"/>
  <c r="B8" i="34"/>
  <c r="B4" i="34"/>
  <c r="B4" i="33"/>
  <c r="D5" i="34"/>
  <c r="I4" i="33"/>
  <c r="H5" i="33"/>
  <c r="F5" i="33"/>
  <c r="D5" i="33"/>
  <c r="F2" i="33"/>
  <c r="I4" i="32"/>
  <c r="B4" i="21"/>
  <c r="B4" i="22"/>
  <c r="B4" i="20"/>
  <c r="B4" i="32"/>
  <c r="F5" i="32"/>
  <c r="H4" i="32"/>
  <c r="H2" i="32"/>
  <c r="C3" i="9"/>
  <c r="H4" i="20"/>
  <c r="H2" i="20"/>
  <c r="H2" i="31"/>
  <c r="H2" i="30"/>
  <c r="H2" i="29"/>
  <c r="H2" i="28"/>
  <c r="H2" i="27"/>
  <c r="H2" i="26"/>
  <c r="H2" i="25"/>
  <c r="H2" i="24"/>
  <c r="H2" i="23"/>
  <c r="G4" i="18"/>
  <c r="E9" i="7"/>
  <c r="E21" i="18"/>
  <c r="H2" i="22"/>
  <c r="H3" i="21"/>
  <c r="K3" i="21"/>
  <c r="E76" i="20"/>
  <c r="H76" i="20"/>
  <c r="E75" i="20"/>
  <c r="H75" i="20"/>
  <c r="E74" i="20"/>
  <c r="H74" i="20"/>
  <c r="E73" i="20"/>
  <c r="H73" i="20"/>
  <c r="E72" i="20"/>
  <c r="H72" i="20"/>
  <c r="E71" i="20"/>
  <c r="H71" i="20"/>
  <c r="E70" i="20"/>
  <c r="H70" i="20"/>
  <c r="E69" i="20"/>
  <c r="H69" i="20"/>
  <c r="E68" i="20"/>
  <c r="H68" i="20"/>
  <c r="E67" i="20"/>
  <c r="H67" i="20"/>
  <c r="E66" i="20"/>
  <c r="H66" i="20"/>
  <c r="E65" i="20"/>
  <c r="H65" i="20"/>
  <c r="E64" i="20"/>
  <c r="H64" i="20"/>
  <c r="E63" i="20"/>
  <c r="H63" i="20"/>
  <c r="E62" i="20"/>
  <c r="H62" i="20"/>
  <c r="E61" i="20"/>
  <c r="H61" i="20"/>
  <c r="E60" i="20"/>
  <c r="H60" i="20"/>
  <c r="E59" i="20"/>
  <c r="H59" i="20"/>
  <c r="E58" i="20"/>
  <c r="H58" i="20"/>
  <c r="E57" i="20"/>
  <c r="H57" i="20"/>
  <c r="E56" i="20"/>
  <c r="H56" i="20"/>
  <c r="E55" i="20"/>
  <c r="H55" i="20"/>
  <c r="E54" i="20"/>
  <c r="H54" i="20"/>
  <c r="E53" i="20"/>
  <c r="H53" i="20"/>
  <c r="E52" i="20"/>
  <c r="H52" i="20"/>
  <c r="E51" i="20"/>
  <c r="H51" i="20"/>
  <c r="E50" i="20"/>
  <c r="H50" i="20"/>
  <c r="E49" i="20"/>
  <c r="H49" i="20"/>
  <c r="E48" i="20"/>
  <c r="H48" i="20"/>
  <c r="E47" i="20"/>
  <c r="H47" i="20"/>
  <c r="E46" i="20"/>
  <c r="H46" i="20"/>
  <c r="E45" i="20"/>
  <c r="H45" i="20"/>
  <c r="E44" i="20"/>
  <c r="H44" i="20"/>
  <c r="E43" i="20"/>
  <c r="H43" i="20"/>
  <c r="E42" i="20"/>
  <c r="H42" i="20"/>
  <c r="E41" i="20"/>
  <c r="H41" i="20"/>
  <c r="E37" i="16"/>
  <c r="E28" i="16"/>
  <c r="E24" i="16"/>
  <c r="E20" i="16"/>
  <c r="E8" i="16"/>
  <c r="E21" i="10"/>
  <c r="E38" i="11"/>
  <c r="E20" i="11"/>
  <c r="E18" i="11"/>
  <c r="E19" i="11"/>
  <c r="E21" i="11"/>
  <c r="A1" i="9"/>
  <c r="I37" i="18"/>
  <c r="I38" i="18"/>
  <c r="E42" i="18"/>
  <c r="H42" i="18"/>
  <c r="E43" i="18"/>
  <c r="H43" i="18"/>
  <c r="E44" i="18"/>
  <c r="H44" i="18"/>
  <c r="E45" i="18"/>
  <c r="H45" i="18"/>
  <c r="E46" i="18"/>
  <c r="H46" i="18"/>
  <c r="E47" i="18"/>
  <c r="H47" i="18"/>
  <c r="E48" i="18"/>
  <c r="H48" i="18"/>
  <c r="E49" i="18"/>
  <c r="H49" i="18"/>
  <c r="E50" i="18"/>
  <c r="H50" i="18"/>
  <c r="E51" i="18"/>
  <c r="H51" i="18"/>
  <c r="E52" i="18"/>
  <c r="H52" i="18"/>
  <c r="E53" i="18"/>
  <c r="H53" i="18"/>
  <c r="E54" i="18"/>
  <c r="H54" i="18"/>
  <c r="E55" i="18"/>
  <c r="H55" i="18"/>
  <c r="E56" i="18"/>
  <c r="H56" i="18"/>
  <c r="E57" i="18"/>
  <c r="H57" i="18"/>
  <c r="E58" i="18"/>
  <c r="H58" i="18"/>
  <c r="E59" i="18"/>
  <c r="H59" i="18"/>
  <c r="E60" i="18"/>
  <c r="H60" i="18"/>
  <c r="E61" i="18"/>
  <c r="H61" i="18"/>
  <c r="E62" i="18"/>
  <c r="H62" i="18"/>
  <c r="E63" i="18"/>
  <c r="H63" i="18"/>
  <c r="E64" i="18"/>
  <c r="H64" i="18"/>
  <c r="E65" i="18"/>
  <c r="H65" i="18"/>
  <c r="E66" i="18"/>
  <c r="H66" i="18"/>
  <c r="E67" i="18"/>
  <c r="H67" i="18"/>
  <c r="E68" i="18"/>
  <c r="H68" i="18"/>
  <c r="E69" i="18"/>
  <c r="H69" i="18"/>
  <c r="E70" i="18"/>
  <c r="H70" i="18"/>
  <c r="E71" i="18"/>
  <c r="H71" i="18"/>
  <c r="E72" i="18"/>
  <c r="H72" i="18"/>
  <c r="E73" i="18"/>
  <c r="H73" i="18"/>
  <c r="E74" i="18"/>
  <c r="H74" i="18"/>
  <c r="E75" i="18"/>
  <c r="H75" i="18"/>
  <c r="E76" i="18"/>
  <c r="H76" i="18"/>
  <c r="E77" i="18"/>
  <c r="H77" i="18"/>
  <c r="F3" i="18"/>
  <c r="H2" i="18"/>
  <c r="E41" i="18"/>
  <c r="I4" i="18"/>
  <c r="G5" i="18"/>
  <c r="H2" i="11"/>
  <c r="F3" i="10"/>
  <c r="H2" i="10"/>
  <c r="J38" i="11"/>
  <c r="J29" i="11"/>
  <c r="J21" i="11"/>
  <c r="J9" i="11"/>
  <c r="F70" i="11"/>
  <c r="F13" i="7"/>
  <c r="F11" i="7"/>
  <c r="F11" i="8"/>
  <c r="F3" i="7"/>
  <c r="E38" i="7"/>
  <c r="E37" i="7"/>
  <c r="E29" i="7"/>
  <c r="E25" i="7"/>
  <c r="E21" i="7"/>
  <c r="E19" i="7"/>
  <c r="E18" i="7"/>
  <c r="H2" i="7"/>
  <c r="F3" i="16"/>
  <c r="D4" i="16"/>
  <c r="E20" i="7"/>
  <c r="E43" i="11"/>
  <c r="H43" i="11"/>
  <c r="E44" i="11"/>
  <c r="H44" i="11"/>
  <c r="E45" i="11"/>
  <c r="H45" i="11"/>
  <c r="E46" i="11"/>
  <c r="H46" i="11"/>
  <c r="E47" i="11"/>
  <c r="H47" i="11"/>
  <c r="E48" i="11"/>
  <c r="H48" i="11"/>
  <c r="E49" i="11"/>
  <c r="E41" i="11"/>
  <c r="H49" i="11"/>
  <c r="E50" i="11"/>
  <c r="H50" i="11"/>
  <c r="E51" i="11"/>
  <c r="H51" i="11"/>
  <c r="E52" i="11"/>
  <c r="H52" i="11"/>
  <c r="E53" i="11"/>
  <c r="H53" i="11"/>
  <c r="E54" i="11"/>
  <c r="H54" i="11"/>
  <c r="E55" i="11"/>
  <c r="H55" i="11"/>
  <c r="E56" i="11"/>
  <c r="H56" i="11"/>
  <c r="E57" i="11"/>
  <c r="H57" i="11"/>
  <c r="E58" i="11"/>
  <c r="H58" i="11"/>
  <c r="E59" i="11"/>
  <c r="H59" i="11"/>
  <c r="E61" i="11"/>
  <c r="H61" i="11"/>
  <c r="E62" i="11"/>
  <c r="H62" i="11"/>
  <c r="E63" i="11"/>
  <c r="H63" i="11"/>
  <c r="E64" i="11"/>
  <c r="H64" i="11"/>
  <c r="E65" i="11"/>
  <c r="H65" i="11"/>
  <c r="E66" i="11"/>
  <c r="H66" i="11"/>
  <c r="E67" i="11"/>
  <c r="H67" i="11"/>
  <c r="E68" i="11"/>
  <c r="H68" i="11"/>
  <c r="E69" i="11"/>
  <c r="H69" i="11"/>
  <c r="E70" i="11"/>
  <c r="E71" i="11"/>
  <c r="H71" i="11"/>
  <c r="E72" i="11"/>
  <c r="H72" i="11"/>
  <c r="E73" i="11"/>
  <c r="H73" i="11"/>
  <c r="E74" i="11"/>
  <c r="H74" i="11"/>
  <c r="E75" i="11"/>
  <c r="H75" i="11"/>
  <c r="E77" i="11"/>
  <c r="H77" i="11"/>
  <c r="E42" i="11"/>
  <c r="H42" i="11"/>
  <c r="E76" i="11"/>
  <c r="H76" i="11"/>
  <c r="E60" i="11"/>
  <c r="H60" i="11"/>
  <c r="E9" i="8"/>
  <c r="E38" i="8"/>
  <c r="F3" i="8"/>
  <c r="H2" i="8"/>
  <c r="E37" i="8"/>
  <c r="E29" i="8"/>
  <c r="E25" i="8"/>
  <c r="E21" i="8"/>
  <c r="E18" i="8"/>
  <c r="E20" i="8"/>
  <c r="E19" i="8"/>
  <c r="B5" i="5"/>
  <c r="E40" i="5"/>
  <c r="E36" i="5"/>
  <c r="E32" i="5"/>
  <c r="E30" i="5"/>
  <c r="E29" i="5"/>
  <c r="E20" i="5"/>
  <c r="E48" i="5"/>
  <c r="E47" i="5"/>
  <c r="A12" i="5"/>
  <c r="A13" i="5"/>
  <c r="D13" i="5"/>
  <c r="A11" i="5"/>
  <c r="A10" i="5"/>
  <c r="A9" i="5"/>
  <c r="E31" i="5"/>
  <c r="D3" i="5"/>
  <c r="D4" i="5"/>
  <c r="B3" i="5"/>
  <c r="D12" i="5"/>
  <c r="D11" i="5"/>
  <c r="J13" i="5"/>
  <c r="F13" i="5"/>
  <c r="H13" i="5" s="1"/>
  <c r="B4" i="5"/>
  <c r="F4" i="5"/>
  <c r="B6" i="5"/>
  <c r="D2" i="5"/>
  <c r="F2" i="5"/>
  <c r="J11" i="5"/>
  <c r="H11" i="5"/>
  <c r="F11" i="5"/>
  <c r="F12" i="5"/>
  <c r="H12" i="5" s="1"/>
  <c r="J12" i="5"/>
  <c r="D10" i="5"/>
  <c r="H2" i="5"/>
  <c r="H4" i="5"/>
  <c r="H3" i="5"/>
  <c r="F3" i="5"/>
  <c r="F10" i="5"/>
  <c r="J10" i="5"/>
  <c r="H10" i="5"/>
  <c r="H70" i="11"/>
  <c r="G4" i="16"/>
  <c r="I4" i="16"/>
  <c r="B3" i="16"/>
  <c r="D3" i="16"/>
  <c r="G4" i="11"/>
  <c r="I4" i="11"/>
  <c r="F3" i="11"/>
  <c r="D2" i="16"/>
  <c r="G5" i="11"/>
  <c r="E40" i="20"/>
  <c r="J25" i="11"/>
  <c r="J20" i="11"/>
  <c r="B4" i="37"/>
  <c r="F6" i="36"/>
  <c r="H11" i="36"/>
  <c r="J9" i="36"/>
  <c r="J10" i="36"/>
  <c r="B4" i="36"/>
  <c r="H2" i="36"/>
  <c r="H9" i="36"/>
  <c r="D16" i="9"/>
  <c r="B17" i="37"/>
  <c r="O11" i="38"/>
  <c r="O13" i="38"/>
  <c r="F6" i="38"/>
  <c r="K1" i="38"/>
  <c r="O9" i="38"/>
  <c r="B19" i="37"/>
  <c r="D17" i="37"/>
  <c r="D18" i="37"/>
  <c r="C8" i="37"/>
  <c r="F13" i="37"/>
  <c r="A22" i="39" a="1"/>
  <c r="O32" i="13" a="1"/>
  <c r="K32" i="13" a="1"/>
  <c r="M32" i="13" a="1"/>
  <c r="S22" i="12"/>
  <c r="S21" i="12"/>
  <c r="M17" i="13"/>
  <c r="W5" i="12" s="1"/>
  <c r="B27" i="9"/>
  <c r="G26" i="9"/>
  <c r="K9" i="13"/>
  <c r="G20" i="9"/>
  <c r="G21" i="9"/>
  <c r="K4" i="13"/>
  <c r="G25" i="9"/>
  <c r="G24" i="9"/>
  <c r="K7" i="13"/>
  <c r="O11" i="40"/>
  <c r="O13" i="40"/>
  <c r="B4" i="40"/>
  <c r="K1" i="40"/>
  <c r="M9" i="40"/>
  <c r="O9" i="40"/>
  <c r="C8" i="40"/>
  <c r="D13" i="40"/>
  <c r="P5" i="12"/>
  <c r="M5" i="9"/>
  <c r="AK52" i="13"/>
  <c r="AI53" i="13"/>
  <c r="K3" i="13"/>
  <c r="K8" i="13"/>
  <c r="G23" i="9"/>
  <c r="K6" i="13"/>
  <c r="O32" i="13"/>
  <c r="M32" i="13"/>
  <c r="K32" i="13"/>
  <c r="K33" i="13"/>
  <c r="A22" i="39"/>
  <c r="R5" i="12"/>
  <c r="D5" i="39"/>
  <c r="C8" i="39"/>
  <c r="D13" i="39"/>
  <c r="O9" i="39"/>
  <c r="K1" i="39"/>
  <c r="M1" i="39"/>
  <c r="M9" i="39"/>
  <c r="AL51" i="13"/>
  <c r="AN51" i="13"/>
  <c r="AK47" i="13"/>
  <c r="AL47" i="13"/>
  <c r="AN47" i="13"/>
  <c r="AI51" i="13"/>
  <c r="AE56" i="13"/>
  <c r="AG56" i="13"/>
  <c r="AK50" i="13"/>
  <c r="AL50" i="13"/>
  <c r="AN50" i="13"/>
  <c r="AD47" i="13"/>
  <c r="AE47" i="13"/>
  <c r="AG47" i="13"/>
  <c r="AF35" i="13"/>
  <c r="AH35" i="13"/>
  <c r="M30" i="13"/>
  <c r="M29" i="13"/>
  <c r="L5" i="12"/>
  <c r="K5" i="12"/>
  <c r="AH32" i="13"/>
  <c r="M1" i="13"/>
  <c r="F2" i="16"/>
  <c r="H2" i="16"/>
  <c r="C8" i="38"/>
  <c r="D13" i="38"/>
  <c r="G22" i="9"/>
  <c r="K5" i="13"/>
  <c r="AF36" i="13"/>
  <c r="M33" i="13"/>
  <c r="K24" i="13"/>
  <c r="K23" i="13"/>
  <c r="AF37" i="13"/>
  <c r="AH36" i="13"/>
  <c r="T6" i="12"/>
  <c r="Q31" i="13"/>
  <c r="AF38" i="13"/>
  <c r="AH37" i="13"/>
  <c r="AH38" i="13"/>
  <c r="AF39" i="13"/>
  <c r="AH39" i="13"/>
  <c r="AF40" i="13"/>
  <c r="AF41" i="13"/>
  <c r="AH40" i="13"/>
  <c r="AH41" i="13"/>
  <c r="AF42" i="13"/>
  <c r="AH42" i="13"/>
  <c r="AF43" i="13"/>
  <c r="AH43" i="13"/>
  <c r="AF44" i="13"/>
  <c r="AH44" i="13"/>
  <c r="AF46" i="13"/>
  <c r="AF47" i="13"/>
  <c r="AH46" i="13"/>
  <c r="AF48" i="13"/>
  <c r="AH47" i="13"/>
  <c r="AF49" i="13"/>
  <c r="AH48" i="13"/>
  <c r="AH49" i="13"/>
  <c r="AF50" i="13"/>
  <c r="AH50" i="13"/>
  <c r="AF51" i="13"/>
  <c r="AH51" i="13"/>
  <c r="AF52" i="13"/>
  <c r="AH52" i="13"/>
  <c r="AF53" i="13"/>
  <c r="AF54" i="13"/>
  <c r="AH53" i="13"/>
  <c r="AF55" i="13"/>
  <c r="AH54" i="13"/>
  <c r="AF56" i="13"/>
  <c r="AH55" i="13"/>
  <c r="AF57" i="13"/>
  <c r="AH56" i="13"/>
  <c r="AF58" i="13"/>
  <c r="AH57" i="13"/>
  <c r="AF59" i="13"/>
  <c r="AH58" i="13"/>
  <c r="AH59" i="13"/>
  <c r="AF60" i="13"/>
  <c r="AH60" i="13"/>
  <c r="AF61" i="13"/>
  <c r="AF62" i="13"/>
  <c r="AH61" i="13"/>
  <c r="AF63" i="13"/>
  <c r="AH62" i="13"/>
  <c r="AF64" i="13"/>
  <c r="AH63" i="13"/>
  <c r="AH64" i="13"/>
  <c r="AF65" i="13"/>
  <c r="AF66" i="13"/>
  <c r="AH66" i="13"/>
  <c r="AH65" i="13"/>
  <c r="Y33" i="13"/>
  <c r="M28" i="13"/>
  <c r="L28" i="13"/>
  <c r="L29" i="13"/>
  <c r="L30" i="13"/>
  <c r="O29" i="13"/>
  <c r="O30" i="13"/>
  <c r="N5" i="12"/>
  <c r="F3" i="33" a="1"/>
  <c r="F3" i="38" a="1"/>
  <c r="F3" i="41" a="1"/>
  <c r="F3" i="39" a="1"/>
  <c r="F3" i="34" a="1"/>
  <c r="F3" i="40" a="1"/>
  <c r="F3" i="35" a="1"/>
  <c r="F3" i="37" a="1"/>
  <c r="B3" i="9" l="1"/>
  <c r="D2" i="9" s="1"/>
  <c r="H10" i="9" s="1"/>
  <c r="F10" i="9" s="1"/>
  <c r="I10" i="9" s="1"/>
  <c r="W4" i="12"/>
  <c r="O15" i="13"/>
  <c r="V15" i="12" s="1"/>
  <c r="AM52" i="13"/>
  <c r="AL52" i="13" s="1"/>
  <c r="AN52" i="13" s="1"/>
  <c r="AM53" i="13"/>
  <c r="AL53" i="13" s="1"/>
  <c r="AN53" i="13" s="1"/>
  <c r="AM35" i="13"/>
  <c r="AL35" i="13" s="1"/>
  <c r="AN35" i="13" s="1"/>
  <c r="AM54" i="13"/>
  <c r="AL54" i="13" s="1"/>
  <c r="AN54" i="13" s="1"/>
  <c r="AM55" i="13"/>
  <c r="AL55" i="13" s="1"/>
  <c r="AN55" i="13" s="1"/>
  <c r="AM48" i="13"/>
  <c r="F3" i="37"/>
  <c r="D29" i="37" s="1"/>
  <c r="F3" i="35"/>
  <c r="H2" i="35" s="1"/>
  <c r="F3" i="40"/>
  <c r="H2" i="40" s="1"/>
  <c r="P10" i="40" s="1"/>
  <c r="F3" i="34"/>
  <c r="H2" i="34" s="1"/>
  <c r="F3" i="39"/>
  <c r="H2" i="39" s="1"/>
  <c r="F3" i="41"/>
  <c r="H2" i="41" s="1"/>
  <c r="P10" i="41" s="1"/>
  <c r="F3" i="38"/>
  <c r="F3" i="33"/>
  <c r="H2" i="33" s="1"/>
  <c r="AM44" i="13"/>
  <c r="AL44" i="13" s="1"/>
  <c r="AN44" i="13" s="1"/>
  <c r="AJ48" i="13"/>
  <c r="AK48" i="13" s="1"/>
  <c r="P11" i="12"/>
  <c r="F25" i="9"/>
  <c r="F24" i="9"/>
  <c r="F23" i="9"/>
  <c r="F22" i="9"/>
  <c r="F21" i="9"/>
  <c r="F20" i="9"/>
  <c r="C23" i="9" s="1"/>
  <c r="M23" i="13"/>
  <c r="AM43" i="13"/>
  <c r="AL43" i="13" s="1"/>
  <c r="AN43" i="13" s="1"/>
  <c r="AI48" i="13"/>
  <c r="M24" i="13"/>
  <c r="O10" i="40" l="1"/>
  <c r="H2" i="37"/>
  <c r="O10" i="39"/>
  <c r="AL48" i="13"/>
  <c r="AN48" i="13" s="1"/>
  <c r="O10" i="41"/>
  <c r="O10" i="38"/>
  <c r="H2" i="38"/>
  <c r="C25" i="9"/>
  <c r="Q32" i="13" a="1"/>
  <c r="Q32" i="13" l="1"/>
  <c r="AJ36" i="13" s="1"/>
  <c r="AK36" i="13" l="1"/>
  <c r="AL36" i="13" s="1"/>
  <c r="AI36" i="13"/>
  <c r="AN36" i="13" l="1"/>
  <c r="R29" i="13"/>
  <c r="R28" i="13"/>
  <c r="M1" i="12"/>
  <c r="L1" i="12" s="1"/>
  <c r="Q29" i="13"/>
  <c r="Q28" i="13"/>
  <c r="K31" i="13" l="1"/>
  <c r="L1" i="9"/>
  <c r="J2" i="9" s="1"/>
  <c r="J9" i="9" s="1"/>
  <c r="J10" i="9" s="1"/>
  <c r="L5" i="9"/>
  <c r="J4" i="9" s="1"/>
  <c r="Q27" i="13"/>
  <c r="L3" i="9"/>
  <c r="J3" i="9" s="1"/>
  <c r="K9" i="9" s="1"/>
  <c r="L6" i="9"/>
  <c r="I4" i="9" s="1"/>
  <c r="H13" i="9" s="1"/>
  <c r="L2" i="9"/>
  <c r="I2" i="9" s="1"/>
  <c r="H11" i="9" s="1"/>
  <c r="F11" i="9" s="1"/>
  <c r="I11" i="9" s="1"/>
  <c r="L4" i="9"/>
  <c r="I3" i="9" s="1"/>
  <c r="H12" i="9" s="1"/>
  <c r="F12" i="9" s="1"/>
  <c r="F13" i="9" l="1"/>
  <c r="K10" i="9"/>
  <c r="L9" i="9"/>
  <c r="L10" i="9" s="1"/>
  <c r="I12" i="9"/>
  <c r="J11" i="9"/>
  <c r="L23" i="13"/>
  <c r="O31" i="13"/>
  <c r="M31" i="13"/>
  <c r="L24" i="13"/>
  <c r="J12" i="9" l="1"/>
  <c r="I13" i="9"/>
  <c r="J13" i="9" s="1"/>
  <c r="K11" i="9"/>
  <c r="K12" i="9" s="1"/>
  <c r="L11" i="9" l="1"/>
  <c r="L12" i="9" s="1"/>
  <c r="K13" i="9"/>
  <c r="L13" i="9" l="1"/>
  <c r="T15" i="12" s="1"/>
  <c r="U15" i="12" l="1"/>
  <c r="W15" i="12" s="1"/>
  <c r="H15" i="9" s="1"/>
  <c r="R1" i="12"/>
  <c r="X15" i="12" l="1"/>
  <c r="S1" i="12"/>
  <c r="U1" i="12" s="1"/>
  <c r="I14" i="9"/>
  <c r="Q1" i="12"/>
  <c r="F15" i="9" l="1"/>
  <c r="J14" i="9"/>
  <c r="I15" i="9"/>
  <c r="F16" i="9" s="1"/>
  <c r="A19" i="9" s="1"/>
  <c r="K1" i="13" s="1"/>
  <c r="O1" i="13" s="1"/>
  <c r="L5" i="13" s="1"/>
  <c r="V1" i="12"/>
  <c r="F14" i="9" s="1"/>
  <c r="G14" i="9"/>
  <c r="W2" i="12"/>
  <c r="L7" i="13" l="1"/>
  <c r="P7" i="13" s="1"/>
  <c r="L8" i="13"/>
  <c r="L6" i="13"/>
  <c r="R6" i="13" s="1"/>
  <c r="L9" i="13"/>
  <c r="P9" i="13" s="1"/>
  <c r="L3" i="13"/>
  <c r="L4" i="13"/>
  <c r="P4" i="13" s="1"/>
  <c r="J15" i="9"/>
  <c r="K14" i="9"/>
  <c r="P3" i="13"/>
  <c r="R3" i="13"/>
  <c r="N3" i="13"/>
  <c r="R5" i="13"/>
  <c r="P5" i="13"/>
  <c r="N5" i="13"/>
  <c r="R9" i="13"/>
  <c r="N9" i="13"/>
  <c r="P6" i="13"/>
  <c r="N7" i="13"/>
  <c r="R8" i="13"/>
  <c r="N8" i="13"/>
  <c r="P8" i="13"/>
  <c r="R7" i="13" l="1"/>
  <c r="N6" i="13"/>
  <c r="R4" i="13"/>
  <c r="N4" i="13"/>
  <c r="Q7" i="13"/>
  <c r="K15" i="9"/>
  <c r="L14" i="9"/>
  <c r="Q5" i="13"/>
  <c r="Q4" i="13"/>
  <c r="Q6" i="13"/>
  <c r="Q9" i="13"/>
  <c r="Q8" i="13"/>
  <c r="Q3" i="13"/>
  <c r="O6" i="13" l="1"/>
  <c r="I23" i="9" s="1"/>
  <c r="L19" i="9" s="1"/>
  <c r="O7" i="13"/>
  <c r="I24" i="9" s="1"/>
  <c r="O3" i="13"/>
  <c r="I20" i="9" s="1"/>
  <c r="O9" i="13"/>
  <c r="I26" i="9" s="1"/>
  <c r="O8" i="13"/>
  <c r="I25" i="9" s="1"/>
  <c r="O4" i="13"/>
  <c r="I21" i="9" s="1"/>
  <c r="O5" i="13"/>
  <c r="I22" i="9" s="1"/>
  <c r="Q21" i="12"/>
  <c r="P21" i="12"/>
  <c r="Q16" i="12"/>
  <c r="P16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<sst xmlns="http://schemas.openxmlformats.org/spreadsheetml/2006/main" count="1606" uniqueCount="355">
  <si>
    <t>零食</t>
    <phoneticPr fontId="4" type="noConversion"/>
  </si>
  <si>
    <t>饮料</t>
    <phoneticPr fontId="4" type="noConversion"/>
  </si>
  <si>
    <t>运动</t>
    <phoneticPr fontId="4" type="noConversion"/>
  </si>
  <si>
    <t>梦</t>
    <phoneticPr fontId="4" type="noConversion"/>
  </si>
  <si>
    <t>电子产品</t>
    <phoneticPr fontId="4" type="noConversion"/>
  </si>
  <si>
    <t>总收入</t>
    <phoneticPr fontId="4" type="noConversion"/>
  </si>
  <si>
    <t>定期</t>
    <phoneticPr fontId="4" type="noConversion"/>
  </si>
  <si>
    <t>活期</t>
    <phoneticPr fontId="4" type="noConversion"/>
  </si>
  <si>
    <t>理财</t>
    <phoneticPr fontId="4" type="noConversion"/>
  </si>
  <si>
    <t>剩余</t>
    <phoneticPr fontId="4" type="noConversion"/>
  </si>
  <si>
    <t>购物</t>
    <phoneticPr fontId="4" type="noConversion"/>
  </si>
  <si>
    <t>其他</t>
    <phoneticPr fontId="4" type="noConversion"/>
  </si>
  <si>
    <t>不必要</t>
    <phoneticPr fontId="4" type="noConversion"/>
  </si>
  <si>
    <t>干饭</t>
    <phoneticPr fontId="4" type="noConversion"/>
  </si>
  <si>
    <t>支出分类</t>
    <phoneticPr fontId="4" type="noConversion"/>
  </si>
  <si>
    <t>总</t>
    <phoneticPr fontId="4" type="noConversion"/>
  </si>
  <si>
    <t>生活</t>
    <phoneticPr fontId="4" type="noConversion"/>
  </si>
  <si>
    <t>体育</t>
    <phoneticPr fontId="4" type="noConversion"/>
  </si>
  <si>
    <t>必要</t>
    <phoneticPr fontId="4" type="noConversion"/>
  </si>
  <si>
    <t>娱乐</t>
    <phoneticPr fontId="4" type="noConversion"/>
  </si>
  <si>
    <t>演出</t>
    <phoneticPr fontId="4" type="noConversion"/>
  </si>
  <si>
    <t>旅游</t>
    <phoneticPr fontId="4" type="noConversion"/>
  </si>
  <si>
    <t>交通</t>
    <phoneticPr fontId="4" type="noConversion"/>
  </si>
  <si>
    <t>up</t>
    <phoneticPr fontId="4" type="noConversion"/>
  </si>
  <si>
    <t>relation</t>
    <phoneticPr fontId="4" type="noConversion"/>
  </si>
  <si>
    <t>医疗</t>
    <phoneticPr fontId="4" type="noConversion"/>
  </si>
  <si>
    <t>梦了</t>
    <phoneticPr fontId="4" type="noConversion"/>
  </si>
  <si>
    <t>花了</t>
    <phoneticPr fontId="4" type="noConversion"/>
  </si>
  <si>
    <t>生活了</t>
    <phoneticPr fontId="4" type="noConversion"/>
  </si>
  <si>
    <t>总支出</t>
    <phoneticPr fontId="4" type="noConversion"/>
  </si>
  <si>
    <t>结余</t>
    <phoneticPr fontId="4" type="noConversion"/>
  </si>
  <si>
    <t>生活外</t>
    <phoneticPr fontId="4" type="noConversion"/>
  </si>
  <si>
    <t>存花</t>
    <phoneticPr fontId="4" type="noConversion"/>
  </si>
  <si>
    <t>存梦</t>
    <phoneticPr fontId="4" type="noConversion"/>
  </si>
  <si>
    <t>360天</t>
    <phoneticPr fontId="4" type="noConversion"/>
  </si>
  <si>
    <t>zfb</t>
    <phoneticPr fontId="4" type="noConversion"/>
  </si>
  <si>
    <t>金+A40</t>
  </si>
  <si>
    <t>每周：</t>
    <phoneticPr fontId="4" type="noConversion"/>
  </si>
  <si>
    <t>纳指</t>
    <phoneticPr fontId="4" type="noConversion"/>
  </si>
  <si>
    <t>标普</t>
    <phoneticPr fontId="4" type="noConversion"/>
  </si>
  <si>
    <t>每两周：</t>
    <phoneticPr fontId="4" type="noConversion"/>
  </si>
  <si>
    <t>每月：</t>
    <phoneticPr fontId="4" type="noConversion"/>
  </si>
  <si>
    <t>债&amp;美30</t>
    <phoneticPr fontId="4" type="noConversion"/>
  </si>
  <si>
    <t>补足流动3k，剩余日申周赎</t>
    <phoneticPr fontId="4" type="noConversion"/>
  </si>
  <si>
    <t>黄金定投20，灵活20</t>
  </si>
  <si>
    <t>每天：</t>
  </si>
  <si>
    <t>龙钱宝</t>
  </si>
  <si>
    <t>日申周赎</t>
  </si>
  <si>
    <t>everyday</t>
    <phoneticPr fontId="4" type="noConversion"/>
  </si>
  <si>
    <t>平均每天</t>
    <phoneticPr fontId="4" type="noConversion"/>
  </si>
  <si>
    <t>2024.10</t>
    <phoneticPr fontId="4" type="noConversion"/>
  </si>
  <si>
    <t>电费</t>
    <phoneticPr fontId="4" type="noConversion"/>
  </si>
  <si>
    <t>话费网费</t>
    <phoneticPr fontId="4" type="noConversion"/>
  </si>
  <si>
    <t>水费</t>
    <phoneticPr fontId="4" type="noConversion"/>
  </si>
  <si>
    <t>债</t>
    <phoneticPr fontId="4" type="noConversion"/>
  </si>
  <si>
    <t>2024.11</t>
    <phoneticPr fontId="4" type="noConversion"/>
  </si>
  <si>
    <t>理财收入：</t>
    <phoneticPr fontId="4" type="noConversion"/>
  </si>
  <si>
    <t>折合年化：</t>
    <phoneticPr fontId="4" type="noConversion"/>
  </si>
  <si>
    <t>理财亏损</t>
    <phoneticPr fontId="4" type="noConversion"/>
  </si>
  <si>
    <t>收入</t>
    <phoneticPr fontId="4" type="noConversion"/>
  </si>
  <si>
    <t>理财盈利</t>
    <phoneticPr fontId="4" type="noConversion"/>
  </si>
  <si>
    <t>理财总额：</t>
    <phoneticPr fontId="4" type="noConversion"/>
  </si>
  <si>
    <t>%</t>
    <phoneticPr fontId="4" type="noConversion"/>
  </si>
  <si>
    <t>饮料零食</t>
    <phoneticPr fontId="4" type="noConversion"/>
  </si>
  <si>
    <t>钱放哪</t>
    <phoneticPr fontId="4" type="noConversion"/>
  </si>
  <si>
    <t>钱为啥</t>
    <phoneticPr fontId="4" type="noConversion"/>
  </si>
  <si>
    <t>转入</t>
    <phoneticPr fontId="4" type="noConversion"/>
  </si>
  <si>
    <t>余</t>
    <phoneticPr fontId="4" type="noConversion"/>
  </si>
  <si>
    <t>天</t>
    <phoneticPr fontId="4" type="noConversion"/>
  </si>
  <si>
    <t>2024.12</t>
    <phoneticPr fontId="4" type="noConversion"/>
  </si>
  <si>
    <t>支出</t>
    <phoneticPr fontId="4" type="noConversion"/>
  </si>
  <si>
    <t>旅游/出差</t>
    <phoneticPr fontId="4" type="noConversion"/>
  </si>
  <si>
    <t>报销</t>
    <phoneticPr fontId="4" type="noConversion"/>
  </si>
  <si>
    <t>两人</t>
    <phoneticPr fontId="4" type="noConversion"/>
  </si>
  <si>
    <t>高铁</t>
    <phoneticPr fontId="4" type="noConversion"/>
  </si>
  <si>
    <t>飞机</t>
    <phoneticPr fontId="4" type="noConversion"/>
  </si>
  <si>
    <t>往返</t>
    <phoneticPr fontId="4" type="noConversion"/>
  </si>
  <si>
    <t>市内</t>
    <phoneticPr fontId="4" type="noConversion"/>
  </si>
  <si>
    <t>住宿</t>
    <phoneticPr fontId="4" type="noConversion"/>
  </si>
  <si>
    <t>证件</t>
    <phoneticPr fontId="4" type="noConversion"/>
  </si>
  <si>
    <t>门票</t>
    <phoneticPr fontId="4" type="noConversion"/>
  </si>
  <si>
    <t>保险</t>
    <phoneticPr fontId="4" type="noConversion"/>
  </si>
  <si>
    <t>②</t>
    <phoneticPr fontId="4" type="noConversion"/>
  </si>
  <si>
    <t>校园网</t>
    <phoneticPr fontId="4" type="noConversion"/>
  </si>
  <si>
    <t>洗衣服</t>
    <phoneticPr fontId="4" type="noConversion"/>
  </si>
  <si>
    <t>2025.1</t>
    <phoneticPr fontId="4" type="noConversion"/>
  </si>
  <si>
    <t>消费</t>
    <phoneticPr fontId="4" type="noConversion"/>
  </si>
  <si>
    <t>relationships</t>
    <phoneticPr fontId="4" type="noConversion"/>
  </si>
  <si>
    <t>消费了</t>
    <phoneticPr fontId="4" type="noConversion"/>
  </si>
  <si>
    <t>预算</t>
    <phoneticPr fontId="4" type="noConversion"/>
  </si>
  <si>
    <t>月内余</t>
    <phoneticPr fontId="4" type="noConversion"/>
  </si>
  <si>
    <t>月外余</t>
    <phoneticPr fontId="4" type="noConversion"/>
  </si>
  <si>
    <t>月内收入</t>
    <phoneticPr fontId="4" type="noConversion"/>
  </si>
  <si>
    <t>月内支出</t>
    <phoneticPr fontId="4" type="noConversion"/>
  </si>
  <si>
    <t>月外收入</t>
    <phoneticPr fontId="4" type="noConversion"/>
  </si>
  <si>
    <t>月外支出</t>
    <phoneticPr fontId="4" type="noConversion"/>
  </si>
  <si>
    <t>周内</t>
    <phoneticPr fontId="4" type="noConversion"/>
  </si>
  <si>
    <t>周内支出</t>
    <phoneticPr fontId="4" type="noConversion"/>
  </si>
  <si>
    <t>月内生活</t>
    <phoneticPr fontId="4" type="noConversion"/>
  </si>
  <si>
    <t>月外生活</t>
    <phoneticPr fontId="4" type="noConversion"/>
  </si>
  <si>
    <t>A</t>
    <phoneticPr fontId="4" type="noConversion"/>
  </si>
  <si>
    <t>周内收入</t>
    <phoneticPr fontId="4" type="noConversion"/>
  </si>
  <si>
    <t>现金余</t>
    <phoneticPr fontId="4" type="noConversion"/>
  </si>
  <si>
    <t>年</t>
    <phoneticPr fontId="4" type="noConversion"/>
  </si>
  <si>
    <t>周内余</t>
    <phoneticPr fontId="4" type="noConversion"/>
  </si>
  <si>
    <t>银行</t>
    <phoneticPr fontId="4" type="noConversion"/>
  </si>
  <si>
    <t>目标比例</t>
    <phoneticPr fontId="4" type="noConversion"/>
  </si>
  <si>
    <t>自己</t>
    <phoneticPr fontId="4" type="noConversion"/>
  </si>
  <si>
    <t>每天</t>
    <phoneticPr fontId="4" type="noConversion"/>
  </si>
  <si>
    <t>类型</t>
    <phoneticPr fontId="4" type="noConversion"/>
  </si>
  <si>
    <t>safara</t>
    <phoneticPr fontId="4" type="noConversion"/>
  </si>
  <si>
    <t>月内生活：</t>
    <phoneticPr fontId="4" type="noConversion"/>
  </si>
  <si>
    <t>safara了</t>
    <phoneticPr fontId="4" type="noConversion"/>
  </si>
  <si>
    <t>长债</t>
    <phoneticPr fontId="4" type="noConversion"/>
  </si>
  <si>
    <t>2024</t>
    <phoneticPr fontId="4" type="noConversion"/>
  </si>
  <si>
    <t>月外</t>
    <phoneticPr fontId="4" type="noConversion"/>
  </si>
  <si>
    <t>其他月外生活</t>
    <phoneticPr fontId="4" type="noConversion"/>
  </si>
  <si>
    <t>电影/演出</t>
    <phoneticPr fontId="4" type="noConversion"/>
  </si>
  <si>
    <t>此月还需</t>
    <phoneticPr fontId="4" type="noConversion"/>
  </si>
  <si>
    <t>当前比例</t>
    <phoneticPr fontId="4" type="noConversion"/>
  </si>
  <si>
    <t>储蓄率</t>
    <phoneticPr fontId="4" type="noConversion"/>
  </si>
  <si>
    <t>在校</t>
    <phoneticPr fontId="4" type="noConversion"/>
  </si>
  <si>
    <t>黄金</t>
    <phoneticPr fontId="4" type="noConversion"/>
  </si>
  <si>
    <t>饮食</t>
    <phoneticPr fontId="4" type="noConversion"/>
  </si>
  <si>
    <t>课学</t>
    <phoneticPr fontId="4" type="noConversion"/>
  </si>
  <si>
    <t>人际</t>
    <phoneticPr fontId="4" type="noConversion"/>
  </si>
  <si>
    <t>理财：</t>
    <phoneticPr fontId="4" type="noConversion"/>
  </si>
  <si>
    <t>品类</t>
    <phoneticPr fontId="4" type="noConversion"/>
  </si>
  <si>
    <t>现有：</t>
    <phoneticPr fontId="4" type="noConversion"/>
  </si>
  <si>
    <t>投入后：</t>
    <phoneticPr fontId="4" type="noConversion"/>
  </si>
  <si>
    <t>safar</t>
  </si>
  <si>
    <t>长周期生活</t>
    <phoneticPr fontId="4" type="noConversion"/>
  </si>
  <si>
    <t>已转</t>
    <phoneticPr fontId="4" type="noConversion"/>
  </si>
  <si>
    <t>股</t>
    <phoneticPr fontId="4" type="noConversion"/>
  </si>
  <si>
    <t>商</t>
    <phoneticPr fontId="4" type="noConversion"/>
  </si>
  <si>
    <t>银行年化</t>
    <phoneticPr fontId="4" type="noConversion"/>
  </si>
  <si>
    <t>基金年化</t>
    <phoneticPr fontId="4" type="noConversion"/>
  </si>
  <si>
    <t>基金</t>
    <phoneticPr fontId="4" type="noConversion"/>
  </si>
  <si>
    <t>短周期生活</t>
    <phoneticPr fontId="4" type="noConversion"/>
  </si>
  <si>
    <t>理财年化</t>
    <phoneticPr fontId="4" type="noConversion"/>
  </si>
  <si>
    <t>2025.2</t>
    <phoneticPr fontId="4" type="noConversion"/>
  </si>
  <si>
    <t>目标金额</t>
    <phoneticPr fontId="4" type="noConversion"/>
  </si>
  <si>
    <t>现有金额</t>
    <phoneticPr fontId="4" type="noConversion"/>
  </si>
  <si>
    <t>w</t>
    <phoneticPr fontId="4" type="noConversion"/>
  </si>
  <si>
    <t>r</t>
    <phoneticPr fontId="4" type="noConversion"/>
  </si>
  <si>
    <t>理财</t>
  </si>
  <si>
    <t>活</t>
    <phoneticPr fontId="4" type="noConversion"/>
  </si>
  <si>
    <t>min</t>
    <phoneticPr fontId="4" type="noConversion"/>
  </si>
  <si>
    <t>cartoon</t>
    <phoneticPr fontId="4" type="noConversion"/>
  </si>
  <si>
    <t>玩</t>
    <phoneticPr fontId="4" type="noConversion"/>
  </si>
  <si>
    <t>h</t>
  </si>
  <si>
    <t>看书</t>
    <phoneticPr fontId="4" type="noConversion"/>
  </si>
  <si>
    <t>h</t>
    <phoneticPr fontId="4" type="noConversion"/>
  </si>
  <si>
    <t>辩论赛</t>
    <phoneticPr fontId="4" type="noConversion"/>
  </si>
  <si>
    <t>出去玩</t>
    <phoneticPr fontId="4" type="noConversion"/>
  </si>
  <si>
    <t>游戏</t>
    <phoneticPr fontId="4" type="noConversion"/>
  </si>
  <si>
    <t>漫画</t>
    <phoneticPr fontId="4" type="noConversion"/>
  </si>
  <si>
    <t>看剧</t>
    <phoneticPr fontId="4" type="noConversion"/>
  </si>
  <si>
    <t>课</t>
    <phoneticPr fontId="4" type="noConversion"/>
  </si>
  <si>
    <t>读文献</t>
    <phoneticPr fontId="4" type="noConversion"/>
  </si>
  <si>
    <t>月理财</t>
    <phoneticPr fontId="4" type="noConversion"/>
  </si>
  <si>
    <t>周理财</t>
    <phoneticPr fontId="4" type="noConversion"/>
  </si>
  <si>
    <t>洗漱</t>
    <phoneticPr fontId="4" type="noConversion"/>
  </si>
  <si>
    <t>吃饭</t>
    <phoneticPr fontId="4" type="noConversion"/>
  </si>
  <si>
    <t>睡觉</t>
    <phoneticPr fontId="4" type="noConversion"/>
  </si>
  <si>
    <t>每天费用</t>
    <phoneticPr fontId="4" type="noConversion"/>
  </si>
  <si>
    <t>单次费用</t>
    <phoneticPr fontId="4" type="noConversion"/>
  </si>
  <si>
    <t>每天余h</t>
    <phoneticPr fontId="4" type="noConversion"/>
  </si>
  <si>
    <t>一天耗时</t>
    <phoneticPr fontId="4" type="noConversion"/>
  </si>
  <si>
    <t>一周耗时</t>
    <phoneticPr fontId="4" type="noConversion"/>
  </si>
  <si>
    <t>每周几次</t>
    <phoneticPr fontId="4" type="noConversion"/>
  </si>
  <si>
    <t>次</t>
    <phoneticPr fontId="4" type="noConversion"/>
  </si>
  <si>
    <t>单位</t>
    <phoneticPr fontId="4" type="noConversion"/>
  </si>
  <si>
    <t>耗时</t>
    <phoneticPr fontId="4" type="noConversion"/>
  </si>
  <si>
    <t>事件</t>
    <phoneticPr fontId="4" type="noConversion"/>
  </si>
  <si>
    <t>期待比例</t>
    <phoneticPr fontId="4" type="noConversion"/>
  </si>
  <si>
    <t>期待权重</t>
    <phoneticPr fontId="4" type="noConversion"/>
  </si>
  <si>
    <t>目前耗时</t>
    <phoneticPr fontId="4" type="noConversion"/>
  </si>
  <si>
    <t>目前比例</t>
    <phoneticPr fontId="4" type="noConversion"/>
  </si>
  <si>
    <t>工作</t>
    <phoneticPr fontId="4" type="noConversion"/>
  </si>
  <si>
    <t>一周</t>
    <phoneticPr fontId="4" type="noConversion"/>
  </si>
  <si>
    <t>日语课</t>
    <phoneticPr fontId="4" type="noConversion"/>
  </si>
  <si>
    <t>家教</t>
    <phoneticPr fontId="4" type="noConversion"/>
  </si>
  <si>
    <t>家教通勤</t>
    <phoneticPr fontId="4" type="noConversion"/>
  </si>
  <si>
    <t>健身</t>
    <phoneticPr fontId="4" type="noConversion"/>
  </si>
  <si>
    <t>2025.3</t>
    <phoneticPr fontId="4" type="noConversion"/>
  </si>
  <si>
    <t>体育用品</t>
    <phoneticPr fontId="4" type="noConversion"/>
  </si>
  <si>
    <t>运动健身</t>
    <phoneticPr fontId="4" type="noConversion"/>
  </si>
  <si>
    <t>上月累计盈利</t>
    <phoneticPr fontId="4" type="noConversion"/>
  </si>
  <si>
    <t>本月累计盈利</t>
    <phoneticPr fontId="4" type="noConversion"/>
  </si>
  <si>
    <t>折合年化</t>
    <phoneticPr fontId="4" type="noConversion"/>
  </si>
  <si>
    <t>年化</t>
    <phoneticPr fontId="4" type="noConversion"/>
  </si>
  <si>
    <t>月内</t>
  </si>
  <si>
    <t>月外</t>
  </si>
  <si>
    <t>2025.4</t>
    <phoneticPr fontId="4" type="noConversion"/>
  </si>
  <si>
    <t>回家/回校通勤</t>
    <phoneticPr fontId="4" type="noConversion"/>
  </si>
  <si>
    <t>波动safar</t>
  </si>
  <si>
    <t>周期safar</t>
  </si>
  <si>
    <t>波动生活</t>
  </si>
  <si>
    <t>总结余</t>
  </si>
  <si>
    <t>2024.9</t>
  </si>
  <si>
    <t>2024.8</t>
  </si>
  <si>
    <t>2024.7</t>
  </si>
  <si>
    <t>2024.6</t>
  </si>
  <si>
    <t>2024.5</t>
  </si>
  <si>
    <t>2024.4</t>
  </si>
  <si>
    <t>2024.3</t>
  </si>
  <si>
    <t>2024.2</t>
  </si>
  <si>
    <t>2024.1</t>
  </si>
  <si>
    <t>2025.5</t>
    <phoneticPr fontId="4" type="noConversion"/>
  </si>
  <si>
    <t>波动</t>
    <phoneticPr fontId="4" type="noConversion"/>
  </si>
  <si>
    <t>在家</t>
    <phoneticPr fontId="4" type="noConversion"/>
  </si>
  <si>
    <t>出差/旅游</t>
    <phoneticPr fontId="4" type="noConversion"/>
  </si>
  <si>
    <t>导师劳务费</t>
    <phoneticPr fontId="4" type="noConversion"/>
  </si>
  <si>
    <t>正差额</t>
    <phoneticPr fontId="4" type="noConversion"/>
  </si>
  <si>
    <t>正配比</t>
    <phoneticPr fontId="4" type="noConversion"/>
  </si>
  <si>
    <t>负差额</t>
    <phoneticPr fontId="4" type="noConversion"/>
  </si>
  <si>
    <t>负配比</t>
    <phoneticPr fontId="4" type="noConversion"/>
  </si>
  <si>
    <t>校园卡</t>
    <phoneticPr fontId="4" type="noConversion"/>
  </si>
  <si>
    <t>on?</t>
    <phoneticPr fontId="4" type="noConversion"/>
  </si>
  <si>
    <t>家</t>
    <phoneticPr fontId="4" type="noConversion"/>
  </si>
  <si>
    <t>校</t>
    <phoneticPr fontId="4" type="noConversion"/>
  </si>
  <si>
    <t>游</t>
    <phoneticPr fontId="4" type="noConversion"/>
  </si>
  <si>
    <t>实际费用</t>
    <phoneticPr fontId="4" type="noConversion"/>
  </si>
  <si>
    <t>2025.6</t>
    <phoneticPr fontId="4" type="noConversion"/>
  </si>
  <si>
    <t>折算短周期生活</t>
    <phoneticPr fontId="4" type="noConversion"/>
  </si>
  <si>
    <t>在家天数</t>
    <phoneticPr fontId="4" type="noConversion"/>
  </si>
  <si>
    <t>回家</t>
  </si>
  <si>
    <t>离家</t>
  </si>
  <si>
    <t>出去</t>
  </si>
  <si>
    <t>回来</t>
  </si>
  <si>
    <t>original</t>
    <phoneticPr fontId="4" type="noConversion"/>
  </si>
  <si>
    <t>full</t>
    <phoneticPr fontId="4" type="noConversion"/>
  </si>
  <si>
    <t>净资产</t>
    <phoneticPr fontId="4" type="noConversion"/>
  </si>
  <si>
    <t>2025.7</t>
    <phoneticPr fontId="4" type="noConversion"/>
  </si>
  <si>
    <t>总资产</t>
    <phoneticPr fontId="4" type="noConversion"/>
  </si>
  <si>
    <t>理财收入</t>
    <phoneticPr fontId="4" type="noConversion"/>
  </si>
  <si>
    <t>愿望清单</t>
    <phoneticPr fontId="4" type="noConversion"/>
  </si>
  <si>
    <t>safar</t>
    <phoneticPr fontId="4" type="noConversion"/>
  </si>
  <si>
    <t>心愿</t>
    <phoneticPr fontId="4" type="noConversion"/>
  </si>
  <si>
    <t>credit</t>
    <phoneticPr fontId="4" type="noConversion"/>
  </si>
  <si>
    <t>定投</t>
    <phoneticPr fontId="4" type="noConversion"/>
  </si>
  <si>
    <t>红利低波</t>
    <phoneticPr fontId="4" type="noConversion"/>
  </si>
  <si>
    <t>心愿上限</t>
    <phoneticPr fontId="4" type="noConversion"/>
  </si>
  <si>
    <t>课外课</t>
    <phoneticPr fontId="4" type="noConversion"/>
  </si>
  <si>
    <t>讲座</t>
    <phoneticPr fontId="4" type="noConversion"/>
  </si>
  <si>
    <t>多邻国+单词</t>
    <phoneticPr fontId="4" type="noConversion"/>
  </si>
  <si>
    <t>2025.8</t>
    <phoneticPr fontId="4" type="noConversion"/>
  </si>
  <si>
    <t>波动safar'</t>
    <phoneticPr fontId="4" type="noConversion"/>
  </si>
  <si>
    <t>短周期生活'</t>
    <phoneticPr fontId="4" type="noConversion"/>
  </si>
  <si>
    <t>指数估值</t>
    <phoneticPr fontId="4" type="noConversion"/>
  </si>
  <si>
    <t/>
  </si>
  <si>
    <t>school</t>
    <phoneticPr fontId="4" type="noConversion"/>
  </si>
  <si>
    <t>schooling</t>
    <phoneticPr fontId="4" type="noConversion"/>
  </si>
  <si>
    <t>折算school/D</t>
    <phoneticPr fontId="4" type="noConversion"/>
  </si>
  <si>
    <t>2025.9</t>
    <phoneticPr fontId="4" type="noConversion"/>
  </si>
  <si>
    <t>美</t>
    <phoneticPr fontId="4" type="noConversion"/>
  </si>
  <si>
    <t>欧</t>
    <phoneticPr fontId="4" type="noConversion"/>
  </si>
  <si>
    <t>亚</t>
    <phoneticPr fontId="4" type="noConversion"/>
  </si>
  <si>
    <t>中</t>
  </si>
  <si>
    <t>交</t>
  </si>
  <si>
    <t>月内</t>
    <phoneticPr fontId="4" type="noConversion"/>
  </si>
  <si>
    <t>①生活</t>
    <phoneticPr fontId="4" type="noConversion"/>
  </si>
  <si>
    <t>银行卡</t>
    <phoneticPr fontId="4" type="noConversion"/>
  </si>
  <si>
    <t>信用卡</t>
    <phoneticPr fontId="4" type="noConversion"/>
  </si>
  <si>
    <t>支付宝</t>
    <phoneticPr fontId="4" type="noConversion"/>
  </si>
  <si>
    <t>银行理财</t>
    <phoneticPr fontId="4" type="noConversion"/>
  </si>
  <si>
    <t>周期</t>
    <phoneticPr fontId="4" type="noConversion"/>
  </si>
  <si>
    <t>月</t>
    <phoneticPr fontId="4" type="noConversion"/>
  </si>
  <si>
    <t>美债</t>
    <phoneticPr fontId="4" type="noConversion"/>
  </si>
  <si>
    <t>美甲</t>
    <phoneticPr fontId="4" type="noConversion"/>
  </si>
  <si>
    <t>实际日均</t>
    <phoneticPr fontId="4" type="noConversion"/>
  </si>
  <si>
    <t>烫染发</t>
    <phoneticPr fontId="4" type="noConversion"/>
  </si>
  <si>
    <t>all</t>
    <phoneticPr fontId="4" type="noConversion"/>
  </si>
  <si>
    <t>电影</t>
    <phoneticPr fontId="4" type="noConversion"/>
  </si>
  <si>
    <t>舞台剧</t>
    <phoneticPr fontId="4" type="noConversion"/>
  </si>
  <si>
    <t>卖？</t>
  </si>
  <si>
    <t xml:space="preserve"> </t>
    <phoneticPr fontId="4" type="noConversion"/>
  </si>
  <si>
    <t>2025.10</t>
    <phoneticPr fontId="4" type="noConversion"/>
  </si>
  <si>
    <t>周期生活</t>
    <phoneticPr fontId="4" type="noConversion"/>
  </si>
  <si>
    <t>周期收入</t>
    <phoneticPr fontId="4" type="noConversion"/>
  </si>
  <si>
    <t>周期safar</t>
    <phoneticPr fontId="4" type="noConversion"/>
  </si>
  <si>
    <t>波动生活</t>
    <phoneticPr fontId="4" type="noConversion"/>
  </si>
  <si>
    <t>波动safar</t>
    <phoneticPr fontId="4" type="noConversion"/>
  </si>
  <si>
    <t>周期结余</t>
    <phoneticPr fontId="4" type="noConversion"/>
  </si>
  <si>
    <t>人生进度</t>
    <phoneticPr fontId="4" type="noConversion"/>
  </si>
  <si>
    <t>出生</t>
    <phoneticPr fontId="4" type="noConversion"/>
  </si>
  <si>
    <t>月底</t>
    <phoneticPr fontId="4" type="noConversion"/>
  </si>
  <si>
    <t>下月初</t>
    <phoneticPr fontId="4" type="noConversion"/>
  </si>
  <si>
    <t>差额</t>
    <phoneticPr fontId="4" type="noConversion"/>
  </si>
  <si>
    <t>现在应转入</t>
    <phoneticPr fontId="4" type="noConversion"/>
  </si>
  <si>
    <t>2025.11</t>
    <phoneticPr fontId="4" type="noConversion"/>
  </si>
  <si>
    <t>外出天数</t>
    <phoneticPr fontId="4" type="noConversion"/>
  </si>
  <si>
    <t>玩</t>
  </si>
  <si>
    <t>羽绒服</t>
    <phoneticPr fontId="4" type="noConversion"/>
  </si>
  <si>
    <t>muji</t>
    <phoneticPr fontId="4" type="noConversion"/>
  </si>
  <si>
    <t>羽毛球队费</t>
    <phoneticPr fontId="4" type="noConversion"/>
  </si>
  <si>
    <t>lulu帽子</t>
    <phoneticPr fontId="4" type="noConversion"/>
  </si>
  <si>
    <t>修电脑</t>
    <phoneticPr fontId="4" type="noConversion"/>
  </si>
  <si>
    <t>屏障受损换护肤品</t>
    <phoneticPr fontId="4" type="noConversion"/>
  </si>
  <si>
    <t>日本贰</t>
    <phoneticPr fontId="4" type="noConversion"/>
  </si>
  <si>
    <t>keen</t>
    <phoneticPr fontId="4" type="noConversion"/>
  </si>
  <si>
    <t>2025.12</t>
    <phoneticPr fontId="4" type="noConversion"/>
  </si>
  <si>
    <t>总结余</t>
    <phoneticPr fontId="4" type="noConversion"/>
  </si>
  <si>
    <t>院校低保</t>
    <phoneticPr fontId="4" type="noConversion"/>
  </si>
  <si>
    <t>应转入消费</t>
    <phoneticPr fontId="4" type="noConversion"/>
  </si>
  <si>
    <t>应转入心愿</t>
    <phoneticPr fontId="4" type="noConversion"/>
  </si>
  <si>
    <t>实际转入心愿</t>
    <phoneticPr fontId="4" type="noConversion"/>
  </si>
  <si>
    <t>实际转入消费</t>
    <phoneticPr fontId="4" type="noConversion"/>
  </si>
  <si>
    <t>累计盈利</t>
    <phoneticPr fontId="4" type="noConversion"/>
  </si>
  <si>
    <t>a6000换a6400</t>
    <phoneticPr fontId="4" type="noConversion"/>
  </si>
  <si>
    <t>滑雪</t>
    <phoneticPr fontId="4" type="noConversion"/>
  </si>
  <si>
    <t>自由泳课程</t>
    <phoneticPr fontId="4" type="noConversion"/>
  </si>
  <si>
    <t>吃好喝好</t>
    <phoneticPr fontId="4" type="noConversion"/>
  </si>
  <si>
    <t>山姆进货</t>
    <phoneticPr fontId="4" type="noConversion"/>
  </si>
  <si>
    <t>双萃精华</t>
    <phoneticPr fontId="4" type="noConversion"/>
  </si>
  <si>
    <t>回家</t>
    <phoneticPr fontId="4" type="noConversion"/>
  </si>
  <si>
    <t>chatgpt</t>
    <phoneticPr fontId="4" type="noConversion"/>
  </si>
  <si>
    <t>生活结余</t>
    <phoneticPr fontId="4" type="noConversion"/>
  </si>
  <si>
    <t>生活费（校）</t>
    <phoneticPr fontId="4" type="noConversion"/>
  </si>
  <si>
    <t>游泳（校）</t>
    <phoneticPr fontId="4" type="noConversion"/>
  </si>
  <si>
    <t>羽毛球（校）</t>
    <phoneticPr fontId="4" type="noConversion"/>
  </si>
  <si>
    <t>收入：</t>
    <phoneticPr fontId="4" type="noConversion"/>
  </si>
  <si>
    <t>2026.1</t>
    <phoneticPr fontId="4" type="noConversion"/>
  </si>
  <si>
    <t>26.1内蒙古(2)</t>
    <phoneticPr fontId="4" type="noConversion"/>
  </si>
  <si>
    <t>扫地机</t>
    <phoneticPr fontId="4" type="noConversion"/>
  </si>
  <si>
    <t>泥石流体检</t>
    <phoneticPr fontId="4" type="noConversion"/>
  </si>
  <si>
    <t>基</t>
    <phoneticPr fontId="4" type="noConversion"/>
  </si>
  <si>
    <t>理财总额</t>
    <phoneticPr fontId="4" type="noConversion"/>
  </si>
  <si>
    <t>2026.2</t>
    <phoneticPr fontId="4" type="noConversion"/>
  </si>
  <si>
    <t>一直在用亲情卡</t>
    <phoneticPr fontId="4" type="noConversion"/>
  </si>
  <si>
    <t>为旅游买的化妆品</t>
    <phoneticPr fontId="4" type="noConversion"/>
  </si>
  <si>
    <t>长筒靴</t>
    <phoneticPr fontId="4" type="noConversion"/>
  </si>
  <si>
    <t>回校</t>
    <phoneticPr fontId="4" type="noConversion"/>
  </si>
  <si>
    <t>为自己</t>
    <phoneticPr fontId="4" type="noConversion"/>
  </si>
  <si>
    <t>狗狗洁牙用品</t>
    <phoneticPr fontId="4" type="noConversion"/>
  </si>
  <si>
    <t>电动车</t>
    <phoneticPr fontId="4" type="noConversion"/>
  </si>
  <si>
    <t>kindle小绿</t>
    <phoneticPr fontId="4" type="noConversion"/>
  </si>
  <si>
    <t>同时也卖了ko3(1100)</t>
    <phoneticPr fontId="4" type="noConversion"/>
  </si>
  <si>
    <t>妈妈报销</t>
    <phoneticPr fontId="4" type="noConversion"/>
  </si>
  <si>
    <t>2026.3</t>
    <phoneticPr fontId="4" type="noConversion"/>
  </si>
  <si>
    <t>26.3沈阳</t>
    <phoneticPr fontId="4" type="noConversion"/>
  </si>
  <si>
    <t>剧、演唱会</t>
    <phoneticPr fontId="4" type="noConversion"/>
  </si>
  <si>
    <t>衣服</t>
    <phoneticPr fontId="4" type="noConversion"/>
  </si>
  <si>
    <t>港</t>
    <phoneticPr fontId="4" type="noConversion"/>
  </si>
  <si>
    <t>CNY</t>
    <phoneticPr fontId="4" type="noConversion"/>
  </si>
  <si>
    <t>实习</t>
    <phoneticPr fontId="4" type="noConversion"/>
  </si>
  <si>
    <t>张杰演唱会</t>
    <phoneticPr fontId="4" type="noConversion"/>
  </si>
  <si>
    <t>6顿</t>
    <phoneticPr fontId="4" type="noConversion"/>
  </si>
  <si>
    <t>拉夫劳伦</t>
    <phoneticPr fontId="4" type="noConversion"/>
  </si>
  <si>
    <t>claude</t>
    <phoneticPr fontId="4" type="noConversion"/>
  </si>
  <si>
    <t>代号鸢</t>
    <phoneticPr fontId="4" type="noConversion"/>
  </si>
  <si>
    <t>长城赏花</t>
    <phoneticPr fontId="4" type="noConversion"/>
  </si>
  <si>
    <t>3天</t>
    <phoneticPr fontId="4" type="noConversion"/>
  </si>
  <si>
    <t>圆明园灯会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</si>
</sst>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 * #,##0.00_ ;_ * \-#,##0.00_ ;_ * &quot;-&quot;??_ ;_ @_ "/>
    <numFmt numFmtId="176" formatCode="yyyy\.m"/>
    <numFmt numFmtId="177" formatCode="0.0"/>
    <numFmt numFmtId="178" formatCode="d"/>
    <numFmt numFmtId="179" formatCode="0_ "/>
    <numFmt numFmtId="180" formatCode="0.0_ "/>
    <numFmt numFmtId="181" formatCode="0.0%"/>
    <numFmt numFmtId="182" formatCode="0.00_ "/>
    <numFmt numFmtId="183" formatCode="0.00_);[Red]\(0.00\)"/>
    <numFmt numFmtId="184" formatCode="_ [$¥-804]* #,##0.00_ ;_ [$¥-804]* \-#,##0.00_ ;_ [$¥-804]* &quot;-&quot;??_ ;_ @_ "/>
    <numFmt numFmtId="185" formatCode="&quot;¥&quot;#,##0.0_);[Red]\(&quot;¥&quot;#,##0.0\)"/>
    <numFmt numFmtId="186" formatCode="&quot;¥&quot;#,##0_);[Red]\(&quot;¥&quot;#,##0\)"/>
  </numFmts>
  <fonts count="39" x14ac:knownFonts="1">
    <font>
      <sz val="11"/>
      <color theme="1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1"/>
      <color theme="9" tint="-0.249977111117893"/>
      <name val="等线"/>
      <family val="3"/>
      <charset val="134"/>
      <scheme val="minor"/>
    </font>
    <font>
      <b/>
      <sz val="11"/>
      <color theme="4"/>
      <name val="等线"/>
      <family val="3"/>
      <charset val="134"/>
      <scheme val="minor"/>
    </font>
    <font>
      <b/>
      <sz val="9"/>
      <color theme="4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theme="1" tint="0.34998626667073579"/>
      <name val="Microsoft YaHei UI"/>
      <family val="2"/>
    </font>
    <font>
      <sz val="11"/>
      <name val="Microsoft YaHei UI"/>
      <family val="2"/>
    </font>
    <font>
      <sz val="12"/>
      <color theme="4" tint="-0.24994659260841701"/>
      <name val="Microsoft YaHei UI"/>
      <family val="2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9" tint="-0.249977111117893"/>
      <name val="等线"/>
      <family val="2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1"/>
      <color rgb="FFC0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3F3F76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6"/>
      <color theme="1"/>
      <name val="仿宋"/>
      <family val="3"/>
      <charset val="134"/>
    </font>
    <font>
      <sz val="11"/>
      <color theme="1"/>
      <name val="仿宋"/>
      <family val="3"/>
      <charset val="134"/>
    </font>
    <font>
      <sz val="16"/>
      <color theme="1"/>
      <name val="仿宋"/>
      <family val="3"/>
      <charset val="134"/>
    </font>
    <font>
      <b/>
      <sz val="11"/>
      <color rgb="FFFF0000"/>
      <name val="仿宋"/>
      <family val="3"/>
      <charset val="134"/>
    </font>
    <font>
      <sz val="11"/>
      <color theme="0"/>
      <name val="等线"/>
      <family val="2"/>
      <charset val="134"/>
      <scheme val="minor"/>
    </font>
    <font>
      <sz val="11"/>
      <color theme="1"/>
      <name val="仿宋"/>
      <family val="3"/>
    </font>
    <font>
      <b/>
      <sz val="16"/>
      <color theme="1"/>
      <name val="仿宋"/>
      <family val="3"/>
    </font>
    <font>
      <sz val="16"/>
      <color theme="1"/>
      <name val="仿宋"/>
      <family val="3"/>
    </font>
    <font>
      <b/>
      <sz val="11"/>
      <color rgb="FFFF0000"/>
      <name val="仿宋"/>
      <family val="3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1DFF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505050"/>
      </left>
      <right/>
      <top style="medium">
        <color rgb="FF505050"/>
      </top>
      <bottom/>
      <diagonal/>
    </border>
    <border>
      <left/>
      <right/>
      <top style="medium">
        <color rgb="FF505050"/>
      </top>
      <bottom/>
      <diagonal/>
    </border>
    <border>
      <left/>
      <right style="medium">
        <color rgb="FF505050"/>
      </right>
      <top style="medium">
        <color rgb="FF505050"/>
      </top>
      <bottom/>
      <diagonal/>
    </border>
    <border>
      <left style="medium">
        <color rgb="FF505050"/>
      </left>
      <right/>
      <top/>
      <bottom/>
      <diagonal/>
    </border>
    <border>
      <left/>
      <right style="medium">
        <color rgb="FF505050"/>
      </right>
      <top/>
      <bottom/>
      <diagonal/>
    </border>
    <border>
      <left style="medium">
        <color rgb="FF505050"/>
      </left>
      <right/>
      <top/>
      <bottom style="medium">
        <color rgb="FF505050"/>
      </bottom>
      <diagonal/>
    </border>
    <border>
      <left/>
      <right/>
      <top/>
      <bottom style="medium">
        <color rgb="FF505050"/>
      </bottom>
      <diagonal/>
    </border>
    <border>
      <left/>
      <right style="medium">
        <color rgb="FF505050"/>
      </right>
      <top/>
      <bottom style="medium">
        <color rgb="FF505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medium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medium">
        <color rgb="FF505050"/>
      </top>
      <bottom style="thin">
        <color rgb="FF505050"/>
      </bottom>
      <diagonal/>
    </border>
    <border>
      <left style="thin">
        <color rgb="FF505050"/>
      </left>
      <right style="medium">
        <color rgb="FF505050"/>
      </right>
      <top style="medium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medium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medium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medium">
        <color rgb="FF505050"/>
      </bottom>
      <diagonal/>
    </border>
    <border>
      <left/>
      <right/>
      <top style="thin">
        <color rgb="FF50505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178" fontId="12" fillId="0" borderId="0">
      <alignment horizontal="left" indent="1"/>
    </xf>
    <xf numFmtId="0" fontId="13" fillId="7" borderId="0" applyNumberFormat="0" applyFont="0" applyBorder="0" applyAlignment="0">
      <alignment horizontal="left" vertical="center" indent="1"/>
    </xf>
    <xf numFmtId="0" fontId="14" fillId="0" borderId="0">
      <alignment horizontal="left" indent="1"/>
    </xf>
    <xf numFmtId="9" fontId="16" fillId="0" borderId="0" applyFont="0" applyFill="0" applyBorder="0" applyAlignment="0" applyProtection="0">
      <alignment vertical="center"/>
    </xf>
    <xf numFmtId="0" fontId="16" fillId="8" borderId="21" applyNumberFormat="0" applyFont="0" applyAlignment="0" applyProtection="0">
      <alignment vertical="center"/>
    </xf>
    <xf numFmtId="0" fontId="18" fillId="10" borderId="23" applyNumberFormat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50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" xfId="2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>
      <alignment vertical="center"/>
    </xf>
    <xf numFmtId="0" fontId="7" fillId="0" borderId="1" xfId="0" applyFont="1" applyBorder="1">
      <alignment vertical="center"/>
    </xf>
    <xf numFmtId="0" fontId="8" fillId="0" borderId="1" xfId="0" applyFont="1" applyBorder="1">
      <alignment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0" fillId="0" borderId="2" xfId="0" applyBorder="1">
      <alignment vertical="center"/>
    </xf>
    <xf numFmtId="177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11" fillId="0" borderId="4" xfId="0" applyFont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6" xfId="0" applyFont="1" applyBorder="1" applyAlignment="1">
      <alignment horizontal="right" vertical="center"/>
    </xf>
    <xf numFmtId="177" fontId="9" fillId="0" borderId="7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right" vertical="center"/>
    </xf>
    <xf numFmtId="1" fontId="11" fillId="0" borderId="9" xfId="0" applyNumberFormat="1" applyFont="1" applyBorder="1" applyAlignment="1">
      <alignment horizontal="center" vertical="center"/>
    </xf>
    <xf numFmtId="177" fontId="9" fillId="0" borderId="9" xfId="0" applyNumberFormat="1" applyFont="1" applyBorder="1" applyAlignment="1">
      <alignment horizontal="center" vertical="center"/>
    </xf>
    <xf numFmtId="177" fontId="9" fillId="0" borderId="10" xfId="0" applyNumberFormat="1" applyFont="1" applyBorder="1" applyAlignment="1">
      <alignment horizontal="center" vertical="center"/>
    </xf>
    <xf numFmtId="0" fontId="1" fillId="2" borderId="1" xfId="1" applyBorder="1">
      <alignment vertical="center"/>
    </xf>
    <xf numFmtId="0" fontId="2" fillId="3" borderId="1" xfId="2" applyBorder="1">
      <alignment vertical="center"/>
    </xf>
    <xf numFmtId="0" fontId="9" fillId="0" borderId="0" xfId="0" applyFont="1" applyAlignment="1">
      <alignment horizontal="right" vertical="center"/>
    </xf>
    <xf numFmtId="1" fontId="11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2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/>
    </xf>
    <xf numFmtId="1" fontId="9" fillId="5" borderId="0" xfId="0" applyNumberFormat="1" applyFont="1" applyFill="1" applyAlignment="1">
      <alignment horizontal="center" vertical="center"/>
    </xf>
    <xf numFmtId="0" fontId="1" fillId="5" borderId="1" xfId="1" applyFill="1" applyBorder="1">
      <alignment vertical="center"/>
    </xf>
    <xf numFmtId="0" fontId="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5" borderId="1" xfId="2" applyFill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0" fontId="2" fillId="3" borderId="1" xfId="2" applyBorder="1" applyAlignment="1">
      <alignment horizontal="center" vertical="center" wrapText="1"/>
    </xf>
    <xf numFmtId="0" fontId="1" fillId="2" borderId="1" xfId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3" fillId="4" borderId="1" xfId="3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5" borderId="1" xfId="2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76" fontId="0" fillId="0" borderId="20" xfId="0" applyNumberFormat="1" applyBorder="1" applyAlignment="1">
      <alignment vertical="center" wrapText="1"/>
    </xf>
    <xf numFmtId="176" fontId="5" fillId="6" borderId="1" xfId="0" applyNumberFormat="1" applyFont="1" applyFill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5" fillId="6" borderId="1" xfId="1" applyFont="1" applyFill="1" applyBorder="1" applyAlignment="1">
      <alignment horizontal="center" vertical="center" wrapText="1"/>
    </xf>
    <xf numFmtId="0" fontId="5" fillId="6" borderId="1" xfId="3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left" vertical="center"/>
    </xf>
    <xf numFmtId="1" fontId="2" fillId="8" borderId="21" xfId="8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0" xfId="7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18" fillId="10" borderId="0" xfId="9" applyNumberFormat="1" applyBorder="1" applyAlignment="1">
      <alignment horizontal="center" vertical="center"/>
    </xf>
    <xf numFmtId="179" fontId="20" fillId="9" borderId="0" xfId="0" applyNumberFormat="1" applyFont="1" applyFill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15" fillId="9" borderId="0" xfId="0" applyNumberFormat="1" applyFont="1" applyFill="1" applyAlignment="1">
      <alignment horizontal="center" vertical="center"/>
    </xf>
    <xf numFmtId="2" fontId="15" fillId="9" borderId="0" xfId="0" applyNumberFormat="1" applyFont="1" applyFill="1" applyAlignment="1">
      <alignment horizontal="center" vertical="center"/>
    </xf>
    <xf numFmtId="1" fontId="11" fillId="0" borderId="28" xfId="0" applyNumberFormat="1" applyFont="1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79" fontId="20" fillId="0" borderId="0" xfId="0" applyNumberFormat="1" applyFont="1" applyAlignment="1">
      <alignment horizontal="center" vertical="center"/>
    </xf>
    <xf numFmtId="0" fontId="0" fillId="8" borderId="21" xfId="8" applyFont="1" applyAlignment="1">
      <alignment horizontal="center" vertical="center"/>
    </xf>
    <xf numFmtId="1" fontId="1" fillId="2" borderId="1" xfId="1" applyNumberForma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2" fillId="3" borderId="1" xfId="2" applyNumberForma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" fontId="0" fillId="0" borderId="22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77" fontId="5" fillId="9" borderId="0" xfId="0" applyNumberFormat="1" applyFont="1" applyFill="1" applyAlignment="1">
      <alignment horizontal="center" vertical="center"/>
    </xf>
    <xf numFmtId="2" fontId="5" fillId="9" borderId="0" xfId="0" applyNumberFormat="1" applyFont="1" applyFill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11" fillId="0" borderId="31" xfId="0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181" fontId="0" fillId="0" borderId="0" xfId="7" applyNumberFormat="1" applyFont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" fontId="2" fillId="8" borderId="36" xfId="8" applyNumberFormat="1" applyFont="1" applyBorder="1" applyAlignment="1">
      <alignment horizontal="center" vertical="center" wrapText="1"/>
    </xf>
    <xf numFmtId="1" fontId="16" fillId="0" borderId="28" xfId="8" applyNumberFormat="1" applyFont="1" applyFill="1" applyBorder="1" applyAlignment="1">
      <alignment horizontal="center" vertical="center"/>
    </xf>
    <xf numFmtId="1" fontId="18" fillId="12" borderId="0" xfId="9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" fontId="11" fillId="0" borderId="24" xfId="10" applyNumberFormat="1" applyFont="1" applyBorder="1" applyAlignment="1">
      <alignment horizontal="center" vertical="center"/>
    </xf>
    <xf numFmtId="1" fontId="11" fillId="0" borderId="27" xfId="1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1" fontId="11" fillId="0" borderId="26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1" fillId="13" borderId="25" xfId="0" applyFont="1" applyFill="1" applyBorder="1" applyAlignment="1">
      <alignment horizontal="center" vertical="center"/>
    </xf>
    <xf numFmtId="0" fontId="0" fillId="13" borderId="25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77" fontId="0" fillId="0" borderId="27" xfId="0" applyNumberForma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0" fillId="0" borderId="28" xfId="0" applyBorder="1">
      <alignment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9" fontId="0" fillId="0" borderId="0" xfId="7" applyFont="1" applyFill="1" applyBorder="1" applyAlignment="1">
      <alignment horizontal="center" vertical="center"/>
    </xf>
    <xf numFmtId="9" fontId="0" fillId="0" borderId="28" xfId="0" applyNumberFormat="1" applyBorder="1" applyAlignment="1">
      <alignment horizontal="center" vertical="center"/>
    </xf>
    <xf numFmtId="9" fontId="0" fillId="12" borderId="0" xfId="7" applyFont="1" applyFill="1" applyBorder="1" applyAlignment="1">
      <alignment horizontal="center" vertical="center"/>
    </xf>
    <xf numFmtId="9" fontId="0" fillId="0" borderId="28" xfId="7" applyFont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9" fontId="5" fillId="8" borderId="0" xfId="8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" fontId="23" fillId="0" borderId="32" xfId="0" applyNumberFormat="1" applyFon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1" fontId="24" fillId="0" borderId="32" xfId="0" applyNumberFormat="1" applyFont="1" applyBorder="1" applyAlignment="1">
      <alignment horizontal="center" vertical="center"/>
    </xf>
    <xf numFmtId="1" fontId="17" fillId="0" borderId="32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177" fontId="7" fillId="0" borderId="22" xfId="0" applyNumberFormat="1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9" fontId="7" fillId="0" borderId="20" xfId="7" applyFont="1" applyBorder="1" applyAlignment="1">
      <alignment vertical="center" wrapText="1"/>
    </xf>
    <xf numFmtId="1" fontId="24" fillId="0" borderId="0" xfId="0" applyNumberFormat="1" applyFont="1" applyAlignment="1">
      <alignment horizontal="center" vertical="center"/>
    </xf>
    <xf numFmtId="1" fontId="18" fillId="0" borderId="0" xfId="8" applyNumberFormat="1" applyFont="1" applyFill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1" fontId="0" fillId="13" borderId="25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1" fontId="5" fillId="11" borderId="0" xfId="0" applyNumberFormat="1" applyFont="1" applyFill="1" applyAlignment="1">
      <alignment horizontal="center" vertical="center" wrapText="1"/>
    </xf>
    <xf numFmtId="1" fontId="5" fillId="14" borderId="0" xfId="0" applyNumberFormat="1" applyFont="1" applyFill="1" applyAlignment="1">
      <alignment horizontal="center" vertical="center" wrapText="1"/>
    </xf>
    <xf numFmtId="1" fontId="26" fillId="0" borderId="0" xfId="0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0" fontId="2" fillId="3" borderId="2" xfId="2" applyBorder="1" applyAlignment="1">
      <alignment horizontal="center" vertical="center" wrapText="1"/>
    </xf>
    <xf numFmtId="1" fontId="2" fillId="3" borderId="2" xfId="2" applyNumberFormat="1" applyBorder="1" applyAlignment="1">
      <alignment horizontal="center" vertical="center" wrapText="1"/>
    </xf>
    <xf numFmtId="1" fontId="1" fillId="2" borderId="2" xfId="1" applyNumberFormat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1" fontId="0" fillId="0" borderId="39" xfId="0" applyNumberForma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" fontId="5" fillId="0" borderId="47" xfId="0" applyNumberFormat="1" applyFont="1" applyBorder="1" applyAlignment="1">
      <alignment horizontal="center" vertical="center"/>
    </xf>
    <xf numFmtId="0" fontId="0" fillId="0" borderId="48" xfId="0" applyBorder="1" applyAlignment="1">
      <alignment vertical="center" wrapText="1"/>
    </xf>
    <xf numFmtId="0" fontId="0" fillId="0" borderId="49" xfId="0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/>
    </xf>
    <xf numFmtId="0" fontId="0" fillId="0" borderId="50" xfId="0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1" fontId="5" fillId="0" borderId="53" xfId="0" applyNumberFormat="1" applyFon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" fontId="5" fillId="0" borderId="55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2" fillId="3" borderId="2" xfId="2" applyNumberFormat="1" applyBorder="1" applyAlignment="1">
      <alignment horizontal="center" vertical="center"/>
    </xf>
    <xf numFmtId="1" fontId="0" fillId="0" borderId="0" xfId="7" applyNumberFormat="1" applyFont="1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1" fontId="18" fillId="13" borderId="0" xfId="9" applyNumberFormat="1" applyFill="1" applyBorder="1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0" fillId="0" borderId="0" xfId="8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vertical="center" wrapText="1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1" fontId="5" fillId="13" borderId="50" xfId="0" applyNumberFormat="1" applyFont="1" applyFill="1" applyBorder="1" applyAlignment="1">
      <alignment horizontal="center" vertical="center"/>
    </xf>
    <xf numFmtId="1" fontId="5" fillId="13" borderId="51" xfId="0" applyNumberFormat="1" applyFont="1" applyFill="1" applyBorder="1" applyAlignment="1">
      <alignment horizontal="center" vertical="center"/>
    </xf>
    <xf numFmtId="1" fontId="5" fillId="13" borderId="1" xfId="0" applyNumberFormat="1" applyFont="1" applyFill="1" applyBorder="1" applyAlignment="1">
      <alignment horizontal="center" vertical="center"/>
    </xf>
    <xf numFmtId="1" fontId="5" fillId="13" borderId="56" xfId="0" applyNumberFormat="1" applyFont="1" applyFill="1" applyBorder="1" applyAlignment="1">
      <alignment horizontal="center" vertical="center"/>
    </xf>
    <xf numFmtId="1" fontId="5" fillId="13" borderId="55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15" borderId="30" xfId="7" applyNumberFormat="1" applyFont="1" applyFill="1" applyBorder="1" applyAlignment="1">
      <alignment horizontal="center" vertical="center"/>
    </xf>
    <xf numFmtId="1" fontId="0" fillId="17" borderId="28" xfId="7" applyNumberFormat="1" applyFont="1" applyFill="1" applyBorder="1" applyAlignment="1">
      <alignment horizontal="center" vertical="center"/>
    </xf>
    <xf numFmtId="1" fontId="0" fillId="9" borderId="26" xfId="7" applyNumberFormat="1" applyFont="1" applyFill="1" applyBorder="1" applyAlignment="1">
      <alignment horizontal="center" vertical="center"/>
    </xf>
    <xf numFmtId="1" fontId="0" fillId="9" borderId="25" xfId="0" applyNumberFormat="1" applyFill="1" applyBorder="1" applyAlignment="1">
      <alignment horizontal="center" vertical="center"/>
    </xf>
    <xf numFmtId="1" fontId="29" fillId="0" borderId="0" xfId="0" applyNumberFormat="1" applyFont="1" applyAlignment="1">
      <alignment horizontal="center" vertical="center"/>
    </xf>
    <xf numFmtId="1" fontId="28" fillId="12" borderId="31" xfId="9" applyNumberFormat="1" applyFont="1" applyFill="1" applyBorder="1" applyAlignment="1">
      <alignment horizontal="center" vertical="center"/>
    </xf>
    <xf numFmtId="177" fontId="15" fillId="12" borderId="0" xfId="0" applyNumberFormat="1" applyFont="1" applyFill="1" applyAlignment="1">
      <alignment horizontal="center" vertical="center"/>
    </xf>
    <xf numFmtId="1" fontId="5" fillId="13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" fillId="3" borderId="24" xfId="2" applyBorder="1" applyAlignment="1">
      <alignment horizontal="center" vertical="center" wrapText="1"/>
    </xf>
    <xf numFmtId="0" fontId="1" fillId="2" borderId="25" xfId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" fontId="5" fillId="13" borderId="25" xfId="0" applyNumberFormat="1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" fontId="5" fillId="13" borderId="28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1" fontId="1" fillId="13" borderId="25" xfId="1" applyNumberFormat="1" applyFill="1" applyBorder="1" applyAlignment="1">
      <alignment horizontal="center" vertical="center" wrapText="1"/>
    </xf>
    <xf numFmtId="0" fontId="0" fillId="13" borderId="26" xfId="0" applyFill="1" applyBorder="1" applyAlignment="1">
      <alignment horizontal="center" vertical="center"/>
    </xf>
    <xf numFmtId="49" fontId="6" fillId="0" borderId="26" xfId="0" applyNumberFormat="1" applyFont="1" applyBorder="1">
      <alignment vertical="center"/>
    </xf>
    <xf numFmtId="0" fontId="19" fillId="0" borderId="24" xfId="0" applyFont="1" applyBorder="1">
      <alignment vertical="center"/>
    </xf>
    <xf numFmtId="1" fontId="0" fillId="0" borderId="28" xfId="8" applyNumberFormat="1" applyFont="1" applyFill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 wrapText="1"/>
    </xf>
    <xf numFmtId="1" fontId="2" fillId="13" borderId="25" xfId="2" applyNumberFormat="1" applyFill="1" applyBorder="1" applyAlignment="1">
      <alignment horizontal="center" vertical="center" wrapText="1"/>
    </xf>
    <xf numFmtId="1" fontId="0" fillId="13" borderId="26" xfId="0" applyNumberFormat="1" applyFill="1" applyBorder="1" applyAlignment="1">
      <alignment horizontal="center" vertical="center" wrapText="1"/>
    </xf>
    <xf numFmtId="0" fontId="0" fillId="0" borderId="31" xfId="8" applyNumberFormat="1" applyFont="1" applyFill="1" applyBorder="1" applyAlignment="1">
      <alignment horizontal="center" vertical="center"/>
    </xf>
    <xf numFmtId="1" fontId="18" fillId="8" borderId="0" xfId="8" applyNumberFormat="1" applyFont="1" applyBorder="1" applyAlignment="1">
      <alignment horizontal="center" vertical="center"/>
    </xf>
    <xf numFmtId="0" fontId="2" fillId="3" borderId="57" xfId="2" applyBorder="1" applyAlignment="1">
      <alignment horizontal="center" vertical="center"/>
    </xf>
    <xf numFmtId="1" fontId="24" fillId="0" borderId="0" xfId="8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right" vertical="center"/>
    </xf>
    <xf numFmtId="1" fontId="0" fillId="0" borderId="26" xfId="0" applyNumberFormat="1" applyBorder="1" applyAlignment="1">
      <alignment horizontal="center" vertical="center"/>
    </xf>
    <xf numFmtId="1" fontId="16" fillId="13" borderId="25" xfId="2" applyNumberFormat="1" applyFont="1" applyFill="1" applyBorder="1" applyAlignment="1">
      <alignment horizontal="center" vertical="center" wrapText="1"/>
    </xf>
    <xf numFmtId="1" fontId="16" fillId="13" borderId="25" xfId="1" applyNumberFormat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13" borderId="31" xfId="0" applyFill="1" applyBorder="1" applyAlignment="1">
      <alignment horizontal="center" vertical="center" wrapText="1"/>
    </xf>
    <xf numFmtId="1" fontId="0" fillId="13" borderId="25" xfId="0" applyNumberFormat="1" applyFill="1" applyBorder="1" applyAlignment="1">
      <alignment horizontal="center" vertical="center" wrapText="1"/>
    </xf>
    <xf numFmtId="1" fontId="0" fillId="0" borderId="31" xfId="0" applyNumberFormat="1" applyBorder="1" applyAlignment="1">
      <alignment horizontal="center" vertical="center" wrapText="1"/>
    </xf>
    <xf numFmtId="1" fontId="0" fillId="13" borderId="31" xfId="0" applyNumberFormat="1" applyFill="1" applyBorder="1" applyAlignment="1">
      <alignment horizontal="center" vertical="center" wrapText="1"/>
    </xf>
    <xf numFmtId="0" fontId="11" fillId="13" borderId="0" xfId="0" applyFont="1" applyFill="1" applyAlignment="1">
      <alignment horizontal="center" vertical="center"/>
    </xf>
    <xf numFmtId="1" fontId="18" fillId="0" borderId="0" xfId="9" applyNumberForma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27" fillId="0" borderId="25" xfId="11" applyBorder="1">
      <alignment vertical="center"/>
    </xf>
    <xf numFmtId="1" fontId="0" fillId="13" borderId="30" xfId="0" applyNumberFormat="1" applyFill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1" fontId="5" fillId="0" borderId="25" xfId="0" applyNumberFormat="1" applyFon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/>
    </xf>
    <xf numFmtId="0" fontId="2" fillId="0" borderId="27" xfId="2" applyFill="1" applyBorder="1" applyAlignment="1">
      <alignment horizontal="center" vertical="center" wrapText="1"/>
    </xf>
    <xf numFmtId="1" fontId="16" fillId="0" borderId="0" xfId="2" applyNumberFormat="1" applyFont="1" applyFill="1" applyBorder="1" applyAlignment="1">
      <alignment horizontal="center" vertical="center" wrapText="1"/>
    </xf>
    <xf numFmtId="0" fontId="1" fillId="0" borderId="0" xfId="1" applyFill="1" applyBorder="1" applyAlignment="1">
      <alignment horizontal="center" vertical="center" wrapText="1"/>
    </xf>
    <xf numFmtId="1" fontId="16" fillId="0" borderId="0" xfId="1" applyNumberFormat="1" applyFont="1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 vertical="center" wrapText="1"/>
    </xf>
    <xf numFmtId="0" fontId="7" fillId="0" borderId="30" xfId="0" applyFont="1" applyBorder="1" applyAlignment="1">
      <alignment vertical="center" wrapText="1"/>
    </xf>
    <xf numFmtId="2" fontId="7" fillId="0" borderId="30" xfId="0" applyNumberFormat="1" applyFont="1" applyBorder="1" applyAlignment="1">
      <alignment vertical="center" wrapText="1"/>
    </xf>
    <xf numFmtId="49" fontId="30" fillId="0" borderId="0" xfId="0" applyNumberFormat="1" applyFont="1" applyAlignment="1">
      <alignment vertical="center" wrapText="1"/>
    </xf>
    <xf numFmtId="0" fontId="31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 wrapText="1"/>
    </xf>
    <xf numFmtId="1" fontId="0" fillId="0" borderId="0" xfId="7" applyNumberFormat="1" applyFont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0" fillId="13" borderId="30" xfId="0" applyFill="1" applyBorder="1" applyAlignment="1">
      <alignment horizontal="center" vertical="center"/>
    </xf>
    <xf numFmtId="179" fontId="0" fillId="13" borderId="0" xfId="0" applyNumberFormat="1" applyFill="1" applyAlignment="1">
      <alignment horizontal="center" vertical="center"/>
    </xf>
    <xf numFmtId="179" fontId="11" fillId="9" borderId="0" xfId="0" applyNumberFormat="1" applyFont="1" applyFill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1" fontId="18" fillId="12" borderId="31" xfId="9" applyNumberFormat="1" applyFill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79" fontId="11" fillId="9" borderId="31" xfId="0" applyNumberFormat="1" applyFont="1" applyFill="1" applyBorder="1" applyAlignment="1">
      <alignment horizontal="center" vertical="center"/>
    </xf>
    <xf numFmtId="1" fontId="20" fillId="0" borderId="31" xfId="0" applyNumberFormat="1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1" fontId="15" fillId="0" borderId="25" xfId="0" applyNumberFormat="1" applyFont="1" applyBorder="1" applyAlignment="1">
      <alignment horizontal="center" vertical="center"/>
    </xf>
    <xf numFmtId="1" fontId="15" fillId="0" borderId="25" xfId="7" applyNumberFormat="1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8" borderId="61" xfId="8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80" fontId="0" fillId="0" borderId="24" xfId="0" applyNumberFormat="1" applyBorder="1" applyAlignment="1">
      <alignment horizontal="center" vertical="center"/>
    </xf>
    <xf numFmtId="1" fontId="0" fillId="0" borderId="31" xfId="7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8" borderId="62" xfId="8" applyFont="1" applyBorder="1" applyAlignment="1">
      <alignment horizontal="center" vertical="center"/>
    </xf>
    <xf numFmtId="9" fontId="0" fillId="0" borderId="26" xfId="7" applyFont="1" applyBorder="1" applyAlignment="1">
      <alignment horizontal="center" vertical="center"/>
    </xf>
    <xf numFmtId="181" fontId="7" fillId="0" borderId="30" xfId="7" applyNumberFormat="1" applyFont="1" applyBorder="1" applyAlignment="1">
      <alignment horizontal="center" vertical="center"/>
    </xf>
    <xf numFmtId="1" fontId="28" fillId="12" borderId="0" xfId="9" applyNumberFormat="1" applyFont="1" applyFill="1" applyBorder="1" applyAlignment="1">
      <alignment horizontal="center" vertical="center"/>
    </xf>
    <xf numFmtId="14" fontId="0" fillId="13" borderId="0" xfId="0" applyNumberFormat="1" applyFill="1" applyAlignment="1">
      <alignment horizontal="center" vertical="center"/>
    </xf>
    <xf numFmtId="9" fontId="0" fillId="13" borderId="25" xfId="0" applyNumberFormat="1" applyFill="1" applyBorder="1" applyAlignment="1">
      <alignment horizontal="center" vertical="center"/>
    </xf>
    <xf numFmtId="1" fontId="0" fillId="19" borderId="25" xfId="0" applyNumberFormat="1" applyFill="1" applyBorder="1" applyAlignment="1">
      <alignment horizontal="center" vertical="center"/>
    </xf>
    <xf numFmtId="1" fontId="0" fillId="16" borderId="25" xfId="0" applyNumberForma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20" borderId="0" xfId="0" applyFill="1" applyAlignment="1">
      <alignment horizontal="center" vertical="center" wrapText="1"/>
    </xf>
    <xf numFmtId="0" fontId="0" fillId="0" borderId="0" xfId="8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53" xfId="7" applyFont="1" applyBorder="1" applyAlignment="1">
      <alignment horizontal="center" vertical="center"/>
    </xf>
    <xf numFmtId="179" fontId="20" fillId="13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 wrapText="1"/>
    </xf>
    <xf numFmtId="9" fontId="0" fillId="0" borderId="13" xfId="7" applyFont="1" applyBorder="1" applyAlignment="1">
      <alignment horizontal="center" vertical="center"/>
    </xf>
    <xf numFmtId="181" fontId="7" fillId="0" borderId="28" xfId="7" applyNumberFormat="1" applyFont="1" applyBorder="1" applyAlignment="1">
      <alignment horizontal="center" vertical="center"/>
    </xf>
    <xf numFmtId="1" fontId="5" fillId="0" borderId="31" xfId="0" applyNumberFormat="1" applyFont="1" applyBorder="1" applyAlignment="1">
      <alignment horizontal="center" vertical="center"/>
    </xf>
    <xf numFmtId="0" fontId="1" fillId="2" borderId="31" xfId="1" applyBorder="1" applyAlignment="1">
      <alignment horizontal="center" vertical="center"/>
    </xf>
    <xf numFmtId="1" fontId="1" fillId="2" borderId="31" xfId="1" applyNumberFormat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1" fontId="0" fillId="11" borderId="28" xfId="0" applyNumberFormat="1" applyFill="1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1" fontId="0" fillId="9" borderId="31" xfId="0" applyNumberFormat="1" applyFill="1" applyBorder="1" applyAlignment="1">
      <alignment horizontal="center" vertical="center"/>
    </xf>
    <xf numFmtId="1" fontId="0" fillId="11" borderId="31" xfId="0" applyNumberFormat="1" applyFill="1" applyBorder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4" fontId="0" fillId="13" borderId="31" xfId="0" applyNumberFormat="1" applyFill="1" applyBorder="1" applyAlignment="1">
      <alignment horizontal="center" vertical="center"/>
    </xf>
    <xf numFmtId="10" fontId="0" fillId="0" borderId="0" xfId="7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49" fontId="36" fillId="0" borderId="0" xfId="0" applyNumberFormat="1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1" fontId="0" fillId="0" borderId="0" xfId="2" applyNumberFormat="1" applyFont="1" applyFill="1" applyAlignment="1">
      <alignment horizontal="center" vertical="center" wrapText="1"/>
    </xf>
    <xf numFmtId="0" fontId="1" fillId="0" borderId="0" xfId="1" applyFill="1" applyAlignment="1">
      <alignment horizontal="center" vertical="center" wrapText="1"/>
    </xf>
    <xf numFmtId="1" fontId="0" fillId="0" borderId="0" xfId="1" applyNumberFormat="1" applyFont="1" applyFill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0" fontId="0" fillId="0" borderId="50" xfId="0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82" fontId="11" fillId="0" borderId="0" xfId="0" applyNumberFormat="1" applyFont="1" applyAlignment="1">
      <alignment horizontal="center" vertical="center"/>
    </xf>
    <xf numFmtId="0" fontId="11" fillId="0" borderId="0" xfId="0" applyFont="1">
      <alignment vertical="center"/>
    </xf>
    <xf numFmtId="183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177" fontId="20" fillId="0" borderId="0" xfId="0" applyNumberFormat="1" applyFont="1" applyAlignment="1">
      <alignment horizontal="center" vertical="center"/>
    </xf>
    <xf numFmtId="182" fontId="20" fillId="0" borderId="0" xfId="0" applyNumberFormat="1" applyFont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11" fillId="0" borderId="0" xfId="0" applyNumberFormat="1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5" fontId="11" fillId="0" borderId="0" xfId="0" applyNumberFormat="1" applyFont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84" fontId="15" fillId="0" borderId="0" xfId="0" applyNumberFormat="1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13" borderId="58" xfId="0" applyNumberFormat="1" applyFill="1" applyBorder="1" applyAlignment="1">
      <alignment horizontal="center" vertical="center"/>
    </xf>
    <xf numFmtId="9" fontId="0" fillId="0" borderId="68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/>
    </xf>
    <xf numFmtId="0" fontId="0" fillId="13" borderId="70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9" fontId="0" fillId="13" borderId="17" xfId="7" applyFont="1" applyFill="1" applyBorder="1" applyAlignment="1">
      <alignment horizontal="center" vertical="center"/>
    </xf>
    <xf numFmtId="1" fontId="0" fillId="12" borderId="24" xfId="0" applyNumberFormat="1" applyFill="1" applyBorder="1" applyAlignment="1">
      <alignment horizontal="center" vertical="center"/>
    </xf>
    <xf numFmtId="0" fontId="0" fillId="0" borderId="0" xfId="7" applyNumberFormat="1" applyFont="1" applyBorder="1" applyAlignment="1">
      <alignment horizontal="center" vertical="center"/>
    </xf>
    <xf numFmtId="1" fontId="0" fillId="0" borderId="25" xfId="7" applyNumberFormat="1" applyFont="1" applyBorder="1" applyAlignment="1">
      <alignment horizontal="center" vertical="center"/>
    </xf>
    <xf numFmtId="1" fontId="0" fillId="0" borderId="0" xfId="7" applyNumberFormat="1" applyFont="1" applyBorder="1" applyAlignment="1">
      <alignment horizontal="center" vertical="center"/>
    </xf>
    <xf numFmtId="1" fontId="15" fillId="12" borderId="0" xfId="0" applyNumberFormat="1" applyFont="1" applyFill="1" applyAlignment="1">
      <alignment horizontal="center" vertical="center"/>
    </xf>
    <xf numFmtId="1" fontId="0" fillId="18" borderId="25" xfId="0" applyNumberFormat="1" applyFill="1" applyBorder="1" applyAlignment="1">
      <alignment horizontal="center" vertical="center"/>
    </xf>
    <xf numFmtId="1" fontId="0" fillId="18" borderId="26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0" fontId="0" fillId="0" borderId="0" xfId="0">
      <alignment vertical="center"/>
    </xf>
    <xf numFmtId="1" fontId="0" fillId="12" borderId="0" xfId="0" applyNumberFormat="1" applyFill="1" applyAlignment="1">
      <alignment horizontal="center" vertical="center"/>
    </xf>
    <xf numFmtId="1" fontId="0" fillId="12" borderId="31" xfId="0" applyNumberForma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0" borderId="31" xfId="0" applyNumberFormat="1" applyFont="1" applyBorder="1" applyAlignment="1">
      <alignment horizontal="center" vertical="center"/>
    </xf>
    <xf numFmtId="1" fontId="0" fillId="0" borderId="71" xfId="0" applyNumberFormat="1" applyBorder="1" applyAlignment="1">
      <alignment horizontal="center" vertical="center"/>
    </xf>
    <xf numFmtId="1" fontId="0" fillId="0" borderId="65" xfId="0" applyNumberFormat="1" applyBorder="1" applyAlignment="1">
      <alignment horizontal="center" vertical="center"/>
    </xf>
    <xf numFmtId="1" fontId="0" fillId="0" borderId="66" xfId="0" applyNumberFormat="1" applyBorder="1" applyAlignment="1">
      <alignment horizontal="center" vertical="center"/>
    </xf>
    <xf numFmtId="9" fontId="0" fillId="0" borderId="2" xfId="7" applyFont="1" applyBorder="1" applyAlignment="1">
      <alignment horizontal="center" vertical="center"/>
    </xf>
    <xf numFmtId="9" fontId="0" fillId="0" borderId="59" xfId="7" applyFont="1" applyBorder="1" applyAlignment="1">
      <alignment horizontal="center" vertical="center"/>
    </xf>
    <xf numFmtId="1" fontId="0" fillId="0" borderId="67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" fontId="0" fillId="13" borderId="2" xfId="0" applyNumberFormat="1" applyFill="1" applyBorder="1" applyAlignment="1">
      <alignment horizontal="center" vertical="center"/>
    </xf>
    <xf numFmtId="1" fontId="0" fillId="13" borderId="59" xfId="0" applyNumberFormat="1" applyFill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9" fontId="0" fillId="0" borderId="63" xfId="7" applyFont="1" applyBorder="1" applyAlignment="1">
      <alignment horizontal="center" vertical="center"/>
    </xf>
    <xf numFmtId="9" fontId="0" fillId="0" borderId="64" xfId="7" applyFont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2" fontId="15" fillId="0" borderId="28" xfId="0" applyNumberFormat="1" applyFont="1" applyBorder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177" fontId="38" fillId="0" borderId="0" xfId="0" applyNumberFormat="1" applyFont="1" applyAlignment="1">
      <alignment horizontal="right" vertical="center" wrapText="1"/>
    </xf>
    <xf numFmtId="0" fontId="0" fillId="0" borderId="28" xfId="0" applyBorder="1" applyAlignment="1">
      <alignment horizontal="left" vertical="center" wrapText="1"/>
    </xf>
    <xf numFmtId="2" fontId="0" fillId="0" borderId="28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177" fontId="33" fillId="0" borderId="0" xfId="0" applyNumberFormat="1" applyFont="1" applyAlignment="1">
      <alignment horizontal="right" vertical="center" wrapText="1"/>
    </xf>
    <xf numFmtId="2" fontId="7" fillId="0" borderId="31" xfId="0" applyNumberFormat="1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2" fontId="15" fillId="12" borderId="0" xfId="0" applyNumberFormat="1" applyFont="1" applyFill="1" applyAlignment="1">
      <alignment horizontal="center" vertical="center" wrapText="1"/>
    </xf>
    <xf numFmtId="2" fontId="15" fillId="12" borderId="28" xfId="0" applyNumberFormat="1" applyFont="1" applyFill="1" applyBorder="1" applyAlignment="1">
      <alignment horizontal="center" vertical="center" wrapText="1"/>
    </xf>
    <xf numFmtId="49" fontId="6" fillId="0" borderId="31" xfId="0" applyNumberFormat="1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7" fillId="0" borderId="25" xfId="0" applyNumberFormat="1" applyFont="1" applyBorder="1" applyAlignment="1">
      <alignment horizontal="right" vertical="center" wrapText="1"/>
    </xf>
    <xf numFmtId="177" fontId="7" fillId="0" borderId="0" xfId="0" applyNumberFormat="1" applyFont="1" applyAlignment="1">
      <alignment horizontal="right" vertical="center" wrapText="1"/>
    </xf>
    <xf numFmtId="0" fontId="0" fillId="0" borderId="26" xfId="0" applyBorder="1" applyAlignment="1">
      <alignment horizontal="left" vertical="center" wrapText="1"/>
    </xf>
    <xf numFmtId="2" fontId="15" fillId="12" borderId="31" xfId="0" applyNumberFormat="1" applyFont="1" applyFill="1" applyBorder="1" applyAlignment="1">
      <alignment horizontal="center" vertical="center" wrapText="1"/>
    </xf>
    <xf numFmtId="2" fontId="15" fillId="12" borderId="30" xfId="0" applyNumberFormat="1" applyFont="1" applyFill="1" applyBorder="1" applyAlignment="1">
      <alignment horizontal="center" vertical="center" wrapText="1"/>
    </xf>
    <xf numFmtId="1" fontId="15" fillId="12" borderId="31" xfId="0" applyNumberFormat="1" applyFont="1" applyFill="1" applyBorder="1" applyAlignment="1">
      <alignment horizontal="center" vertical="center" wrapText="1"/>
    </xf>
    <xf numFmtId="0" fontId="15" fillId="12" borderId="30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77" fontId="7" fillId="0" borderId="22" xfId="0" applyNumberFormat="1" applyFont="1" applyBorder="1" applyAlignment="1">
      <alignment horizontal="right" vertical="center" wrapText="1"/>
    </xf>
    <xf numFmtId="177" fontId="7" fillId="0" borderId="20" xfId="0" applyNumberFormat="1" applyFont="1" applyBorder="1" applyAlignment="1">
      <alignment horizontal="righ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49" fontId="6" fillId="0" borderId="20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3" borderId="1" xfId="2" applyBorder="1" applyAlignment="1">
      <alignment horizontal="center" vertical="center" wrapText="1"/>
    </xf>
    <xf numFmtId="0" fontId="1" fillId="2" borderId="1" xfId="1" applyBorder="1" applyAlignment="1">
      <alignment horizontal="center" vertical="center" wrapText="1"/>
    </xf>
    <xf numFmtId="0" fontId="1" fillId="2" borderId="2" xfId="1" applyBorder="1" applyAlignment="1">
      <alignment horizontal="center" vertical="center" wrapText="1"/>
    </xf>
    <xf numFmtId="0" fontId="1" fillId="2" borderId="14" xfId="1" applyBorder="1" applyAlignment="1">
      <alignment horizontal="center" vertical="center" wrapText="1"/>
    </xf>
    <xf numFmtId="0" fontId="1" fillId="2" borderId="11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  <xf numFmtId="0" fontId="1" fillId="2" borderId="13" xfId="1" applyBorder="1" applyAlignment="1">
      <alignment horizontal="center" vertical="center" wrapText="1"/>
    </xf>
    <xf numFmtId="0" fontId="3" fillId="4" borderId="1" xfId="3" applyBorder="1" applyAlignment="1">
      <alignment horizontal="center" vertical="center" wrapText="1"/>
    </xf>
    <xf numFmtId="176" fontId="5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5" fillId="6" borderId="1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6" borderId="14" xfId="1" applyFont="1" applyFill="1" applyBorder="1" applyAlignment="1">
      <alignment horizontal="center" vertical="center" wrapText="1"/>
    </xf>
    <xf numFmtId="0" fontId="5" fillId="6" borderId="11" xfId="1" applyFont="1" applyFill="1" applyBorder="1" applyAlignment="1">
      <alignment horizontal="center" vertical="center" wrapText="1"/>
    </xf>
    <xf numFmtId="0" fontId="5" fillId="6" borderId="12" xfId="1" applyFont="1" applyFill="1" applyBorder="1" applyAlignment="1">
      <alignment horizontal="center" vertical="center" wrapText="1"/>
    </xf>
    <xf numFmtId="0" fontId="5" fillId="6" borderId="13" xfId="1" applyFont="1" applyFill="1" applyBorder="1" applyAlignment="1">
      <alignment horizontal="center" vertical="center" wrapText="1"/>
    </xf>
    <xf numFmtId="0" fontId="5" fillId="6" borderId="1" xfId="3" applyFont="1" applyFill="1" applyBorder="1" applyAlignment="1">
      <alignment horizontal="center" vertical="center" wrapText="1"/>
    </xf>
    <xf numFmtId="0" fontId="5" fillId="6" borderId="16" xfId="1" applyFont="1" applyFill="1" applyBorder="1" applyAlignment="1">
      <alignment horizontal="center" vertical="center" wrapText="1"/>
    </xf>
    <xf numFmtId="0" fontId="5" fillId="6" borderId="15" xfId="1" applyFont="1" applyFill="1" applyBorder="1" applyAlignment="1">
      <alignment horizontal="center" vertical="center" wrapText="1"/>
    </xf>
    <xf numFmtId="0" fontId="5" fillId="6" borderId="17" xfId="1" applyFont="1" applyFill="1" applyBorder="1" applyAlignment="1">
      <alignment horizontal="center" vertical="center" wrapText="1"/>
    </xf>
    <xf numFmtId="0" fontId="5" fillId="6" borderId="18" xfId="1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77" fontId="7" fillId="0" borderId="16" xfId="0" applyNumberFormat="1" applyFont="1" applyBorder="1" applyAlignment="1">
      <alignment horizontal="center" vertical="center" wrapText="1"/>
    </xf>
    <xf numFmtId="177" fontId="7" fillId="0" borderId="17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49" fontId="6" fillId="0" borderId="18" xfId="0" applyNumberFormat="1" applyFont="1" applyBorder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176" fontId="0" fillId="0" borderId="2" xfId="0" applyNumberFormat="1" applyBorder="1" applyAlignment="1">
      <alignment horizontal="center" vertical="center" wrapText="1"/>
    </xf>
    <xf numFmtId="176" fontId="0" fillId="0" borderId="14" xfId="0" applyNumberFormat="1" applyBorder="1" applyAlignment="1">
      <alignment horizontal="center" vertical="center" wrapText="1"/>
    </xf>
    <xf numFmtId="176" fontId="0" fillId="0" borderId="11" xfId="0" applyNumberForma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3" borderId="12" xfId="2" applyBorder="1" applyAlignment="1">
      <alignment horizontal="center" vertical="center" wrapText="1"/>
    </xf>
    <xf numFmtId="0" fontId="2" fillId="3" borderId="13" xfId="2" applyBorder="1" applyAlignment="1">
      <alignment horizontal="center" vertical="center" wrapText="1"/>
    </xf>
    <xf numFmtId="0" fontId="3" fillId="4" borderId="12" xfId="3" applyBorder="1" applyAlignment="1">
      <alignment horizontal="center" vertical="center" wrapText="1"/>
    </xf>
    <xf numFmtId="0" fontId="3" fillId="4" borderId="13" xfId="3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" fillId="2" borderId="19" xfId="1" applyBorder="1" applyAlignment="1">
      <alignment horizontal="center" vertical="center" wrapText="1"/>
    </xf>
    <xf numFmtId="0" fontId="3" fillId="4" borderId="2" xfId="3" applyBorder="1" applyAlignment="1">
      <alignment horizontal="center" vertical="center" wrapText="1"/>
    </xf>
    <xf numFmtId="0" fontId="3" fillId="4" borderId="11" xfId="3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13" borderId="58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77" fontId="9" fillId="0" borderId="0" xfId="0" applyNumberFormat="1" applyFont="1" applyAlignment="1">
      <alignment horizontal="center" vertical="center" wrapText="1"/>
    </xf>
    <xf numFmtId="177" fontId="9" fillId="0" borderId="9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3" borderId="1" xfId="2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3" fillId="4" borderId="1" xfId="3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1" fillId="2" borderId="11" xfId="1" applyBorder="1" applyAlignment="1">
      <alignment horizontal="center" vertical="center"/>
    </xf>
    <xf numFmtId="0" fontId="1" fillId="2" borderId="1" xfId="1" applyBorder="1" applyAlignment="1">
      <alignment horizontal="left" vertical="center"/>
    </xf>
  </cellXfs>
  <cellStyles count="12">
    <cellStyle name="百分比" xfId="7" builtinId="5"/>
    <cellStyle name="差" xfId="2" builtinId="27"/>
    <cellStyle name="常规" xfId="0" builtinId="0"/>
    <cellStyle name="超链接" xfId="11" builtinId="8"/>
    <cellStyle name="好" xfId="1" builtinId="26"/>
    <cellStyle name="千位分隔" xfId="10" builtinId="3"/>
    <cellStyle name="日" xfId="4" xr:uid="{CC4FB151-A292-4881-AD4E-9199F6DF79DD}"/>
    <cellStyle name="设置条目" xfId="6" xr:uid="{DCFF90AA-DC90-498E-9F61-352532DB8765}"/>
    <cellStyle name="适中" xfId="3" builtinId="28"/>
    <cellStyle name="输入" xfId="9" builtinId="20"/>
    <cellStyle name="镶边" xfId="5" xr:uid="{4DBF847C-6B82-47F8-AA46-54911ACEAAC3}"/>
    <cellStyle name="注释" xfId="8" builtinId="10"/>
  </cellStyles>
  <dxfs count="115"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C00000"/>
      </font>
      <fill>
        <patternFill>
          <bgColor rgb="FFFFCC99"/>
        </patternFill>
      </fill>
    </dxf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strike val="0"/>
        <color rgb="FFFF0000"/>
      </font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ont>
        <color rgb="FFFF0000"/>
      </font>
    </dxf>
    <dxf>
      <fill>
        <patternFill>
          <bgColor rgb="FFFFCC99"/>
        </patternFill>
      </fill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3C6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rgb="FFC00000"/>
      </font>
      <fill>
        <patternFill>
          <bgColor rgb="FFFFCC99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5DBF3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C1C1"/>
      <color rgb="FFFFFFCC"/>
      <color rgb="FFC1DFFF"/>
      <color rgb="FFFFCC99"/>
      <color rgb="FFFF9F9F"/>
      <color rgb="FF93C6FF"/>
      <color rgb="FF6DB3FF"/>
      <color rgb="FFFFD85B"/>
      <color rgb="FFFF8F8F"/>
      <color rgb="FF3F3F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ichStyles" Target="richData/richStyl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microsoft.com/office/2017/06/relationships/rdSupportingPropertyBagStructure" Target="richData/rdsupportingpropertybag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v>25.12</c:v>
          </c:tx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9C-418C-A69F-DD51E6F28671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9C-418C-A69F-DD51E6F286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'26.3'!$J$1:$J$9</c:f>
              <c:strCache>
                <c:ptCount val="2"/>
                <c:pt idx="0">
                  <c:v>生活</c:v>
                </c:pt>
                <c:pt idx="1">
                  <c:v>消费</c:v>
                </c:pt>
              </c:strCache>
            </c:strRef>
          </c:cat>
          <c:val>
            <c:numRef>
              <c:f>'26.3'!$K$1:$K$9</c:f>
              <c:numCache>
                <c:formatCode>0</c:formatCode>
                <c:ptCount val="2"/>
                <c:pt idx="0">
                  <c:v>3077.9500000000003</c:v>
                </c:pt>
                <c:pt idx="1">
                  <c:v>2851.33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C-418C-A69F-DD51E6F286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449C-418C-A69F-DD51E6F2867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449C-418C-A69F-DD51E6F28671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FFCC9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449C-418C-A69F-DD51E6F28671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'26.3'!$J$1:$J$9</c15:sqref>
                        </c15:formulaRef>
                      </c:ext>
                    </c:extLst>
                    <c:strCache>
                      <c:ptCount val="2"/>
                      <c:pt idx="0">
                        <c:v>生活</c:v>
                      </c:pt>
                      <c:pt idx="1">
                        <c:v>消费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'25.11'!$B$17:$B$19</c15:sqref>
                        </c15:formulaRef>
                      </c:ext>
                    </c:extLst>
                    <c:numCache>
                      <c:formatCode>0</c:formatCode>
                      <c:ptCount val="3"/>
                      <c:pt idx="0">
                        <c:v>5377.96</c:v>
                      </c:pt>
                      <c:pt idx="1">
                        <c:v>2157.14</c:v>
                      </c:pt>
                      <c:pt idx="2">
                        <c:v>1190.44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449C-418C-A69F-DD51E6F28671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050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'26.3'!$M$1:$M$9</c:f>
              <c:strCache>
                <c:ptCount val="9"/>
                <c:pt idx="0">
                  <c:v>2546</c:v>
                </c:pt>
                <c:pt idx="8">
                  <c:v>3383</c:v>
                </c:pt>
              </c:strCache>
            </c:strRef>
          </c:tx>
          <c:dPt>
            <c:idx val="0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A8-468F-9CFF-44571F3179C7}"/>
              </c:ext>
            </c:extLst>
          </c:dPt>
          <c:dPt>
            <c:idx val="1"/>
            <c:bubble3D val="0"/>
            <c:spPr>
              <a:pattFill prst="narVert">
                <a:fgClr>
                  <a:srgbClr val="C1DFFF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A8-468F-9CFF-44571F3179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'26.3'!$L$1:$L$9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'26.3'!$M$1:$M$9</c:f>
              <c:numCache>
                <c:formatCode>0</c:formatCode>
                <c:ptCount val="2"/>
                <c:pt idx="0">
                  <c:v>2546.0500000000002</c:v>
                </c:pt>
                <c:pt idx="1">
                  <c:v>3383.2299999999996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A8-468F-9CFF-44571F3179C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14A8-468F-9CFF-44571F3179C7}"/>
                    </c:ext>
                  </c:extLst>
                </c:dPt>
                <c:dPt>
                  <c:idx val="1"/>
                  <c:bubble3D val="0"/>
                  <c:spPr>
                    <a:pattFill prst="wave">
                      <a:fgClr>
                        <a:srgbClr val="FFCC99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14A8-468F-9CFF-44571F3179C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'26.3'!$L$1:$L$9</c15:sqref>
                        </c15:formulaRef>
                      </c:ext>
                    </c:extLst>
                    <c:strCache>
                      <c:ptCount val="2"/>
                      <c:pt idx="0">
                        <c:v>周期</c:v>
                      </c:pt>
                      <c:pt idx="1">
                        <c:v>波动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'25.11'!$D$17:$D$18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3376.63</c:v>
                      </c:pt>
                      <c:pt idx="1">
                        <c:v>5348.9100000000008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14A8-468F-9CFF-44571F3179C7}"/>
                  </c:ext>
                </c:extLst>
              </c15:ser>
            </c15:filteredPieSeries>
          </c:ext>
        </c:extLst>
      </c:pie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v>25.12</c:v>
          </c:tx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FC-4565-A487-706AE3F984E4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FC-4565-A487-706AE3F984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'26.2'!$J$1:$J$9</c:f>
              <c:strCache>
                <c:ptCount val="2"/>
                <c:pt idx="0">
                  <c:v>生活</c:v>
                </c:pt>
                <c:pt idx="1">
                  <c:v>消费</c:v>
                </c:pt>
              </c:strCache>
            </c:strRef>
          </c:cat>
          <c:val>
            <c:numRef>
              <c:f>'26.2'!$K$1:$K$9</c:f>
              <c:numCache>
                <c:formatCode>0</c:formatCode>
                <c:ptCount val="2"/>
                <c:pt idx="0">
                  <c:v>3642.8599999999997</c:v>
                </c:pt>
                <c:pt idx="1">
                  <c:v>2102.21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C-4565-A487-706AE3F984E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1BFC-4565-A487-706AE3F984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1BFC-4565-A487-706AE3F984E4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FFCC9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1BFC-4565-A487-706AE3F984E4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'26.2'!$J$1:$J$9</c15:sqref>
                        </c15:formulaRef>
                      </c:ext>
                    </c:extLst>
                    <c:strCache>
                      <c:ptCount val="2"/>
                      <c:pt idx="0">
                        <c:v>生活</c:v>
                      </c:pt>
                      <c:pt idx="1">
                        <c:v>消费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'25.11'!$B$17:$B$19</c15:sqref>
                        </c15:formulaRef>
                      </c:ext>
                    </c:extLst>
                    <c:numCache>
                      <c:formatCode>0</c:formatCode>
                      <c:ptCount val="3"/>
                      <c:pt idx="0">
                        <c:v>5377.96</c:v>
                      </c:pt>
                      <c:pt idx="1">
                        <c:v>2157.14</c:v>
                      </c:pt>
                      <c:pt idx="2">
                        <c:v>1190.44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1BFC-4565-A487-706AE3F984E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050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'26.2'!$M$1:$M$9</c:f>
              <c:strCache>
                <c:ptCount val="9"/>
                <c:pt idx="0">
                  <c:v>1656</c:v>
                </c:pt>
                <c:pt idx="8">
                  <c:v>4089</c:v>
                </c:pt>
              </c:strCache>
            </c:strRef>
          </c:tx>
          <c:dPt>
            <c:idx val="0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C6-45B5-B2E4-A1A3BD939E71}"/>
              </c:ext>
            </c:extLst>
          </c:dPt>
          <c:dPt>
            <c:idx val="1"/>
            <c:bubble3D val="0"/>
            <c:spPr>
              <a:pattFill prst="narVert">
                <a:fgClr>
                  <a:srgbClr val="C1DFFF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C6-45B5-B2E4-A1A3BD939E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'26.2'!$L$1:$L$9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'26.2'!$M$1:$M$9</c:f>
              <c:numCache>
                <c:formatCode>0</c:formatCode>
                <c:ptCount val="2"/>
                <c:pt idx="0">
                  <c:v>1656.49</c:v>
                </c:pt>
                <c:pt idx="1">
                  <c:v>4088.58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C6-45B5-B2E4-A1A3BD939E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02C6-45B5-B2E4-A1A3BD939E71}"/>
                    </c:ext>
                  </c:extLst>
                </c:dPt>
                <c:dPt>
                  <c:idx val="1"/>
                  <c:bubble3D val="0"/>
                  <c:spPr>
                    <a:pattFill prst="wave">
                      <a:fgClr>
                        <a:srgbClr val="FFCC99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02C6-45B5-B2E4-A1A3BD939E71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'26.2'!$L$1:$L$9</c15:sqref>
                        </c15:formulaRef>
                      </c:ext>
                    </c:extLst>
                    <c:strCache>
                      <c:ptCount val="2"/>
                      <c:pt idx="0">
                        <c:v>周期</c:v>
                      </c:pt>
                      <c:pt idx="1">
                        <c:v>波动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'25.11'!$D$17:$D$18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3376.63</c:v>
                      </c:pt>
                      <c:pt idx="1">
                        <c:v>5348.9100000000008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2C6-45B5-B2E4-A1A3BD939E71}"/>
                  </c:ext>
                </c:extLst>
              </c15:ser>
            </c15:filteredPieSeries>
          </c:ext>
        </c:extLst>
      </c:pie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v>25.12</c:v>
          </c:tx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6F-4397-A988-22A403EA6982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6F-4397-A988-22A403EA69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'26.1'!$J$1:$J$9</c:f>
              <c:strCache>
                <c:ptCount val="2"/>
                <c:pt idx="0">
                  <c:v>生活</c:v>
                </c:pt>
                <c:pt idx="1">
                  <c:v>消费</c:v>
                </c:pt>
              </c:strCache>
            </c:strRef>
          </c:cat>
          <c:val>
            <c:numRef>
              <c:f>'26.1'!$K$1:$K$9</c:f>
              <c:numCache>
                <c:formatCode>0</c:formatCode>
                <c:ptCount val="2"/>
                <c:pt idx="0">
                  <c:v>3777.57</c:v>
                </c:pt>
                <c:pt idx="1">
                  <c:v>2728.87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6F-4397-A988-22A403EA69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A36F-4397-A988-22A403EA6982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A36F-4397-A988-22A403EA6982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FFCC9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A36F-4397-A988-22A403EA6982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'26.1'!$J$1:$J$9</c15:sqref>
                        </c15:formulaRef>
                      </c:ext>
                    </c:extLst>
                    <c:strCache>
                      <c:ptCount val="2"/>
                      <c:pt idx="0">
                        <c:v>生活</c:v>
                      </c:pt>
                      <c:pt idx="1">
                        <c:v>消费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'25.11'!$B$17:$B$19</c15:sqref>
                        </c15:formulaRef>
                      </c:ext>
                    </c:extLst>
                    <c:numCache>
                      <c:formatCode>0</c:formatCode>
                      <c:ptCount val="3"/>
                      <c:pt idx="0">
                        <c:v>5377.96</c:v>
                      </c:pt>
                      <c:pt idx="1">
                        <c:v>2157.14</c:v>
                      </c:pt>
                      <c:pt idx="2">
                        <c:v>1190.44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A36F-4397-A988-22A403EA6982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050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'26.1'!$M$1:$M$9</c:f>
              <c:strCache>
                <c:ptCount val="9"/>
                <c:pt idx="0">
                  <c:v>2155</c:v>
                </c:pt>
                <c:pt idx="8">
                  <c:v>4351</c:v>
                </c:pt>
              </c:strCache>
            </c:strRef>
          </c:tx>
          <c:dPt>
            <c:idx val="0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A9-45C4-B6B4-F4DBF911A7C2}"/>
              </c:ext>
            </c:extLst>
          </c:dPt>
          <c:dPt>
            <c:idx val="1"/>
            <c:bubble3D val="0"/>
            <c:spPr>
              <a:pattFill prst="narVert">
                <a:fgClr>
                  <a:srgbClr val="C1DFFF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A9-45C4-B6B4-F4DBF911A7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'26.1'!$L$1:$L$9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'26.1'!$M$1:$M$9</c:f>
              <c:numCache>
                <c:formatCode>0</c:formatCode>
                <c:ptCount val="2"/>
                <c:pt idx="0">
                  <c:v>2155.15</c:v>
                </c:pt>
                <c:pt idx="1">
                  <c:v>4351.2800000000007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A9-45C4-B6B4-F4DBF911A7C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4CA9-45C4-B6B4-F4DBF911A7C2}"/>
                    </c:ext>
                  </c:extLst>
                </c:dPt>
                <c:dPt>
                  <c:idx val="1"/>
                  <c:bubble3D val="0"/>
                  <c:spPr>
                    <a:pattFill prst="wave">
                      <a:fgClr>
                        <a:srgbClr val="FFCC99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4CA9-45C4-B6B4-F4DBF911A7C2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'26.1'!$L$1:$L$9</c15:sqref>
                        </c15:formulaRef>
                      </c:ext>
                    </c:extLst>
                    <c:strCache>
                      <c:ptCount val="2"/>
                      <c:pt idx="0">
                        <c:v>周期</c:v>
                      </c:pt>
                      <c:pt idx="1">
                        <c:v>波动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'25.11'!$D$17:$D$18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3376.63</c:v>
                      </c:pt>
                      <c:pt idx="1">
                        <c:v>5348.9100000000008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4CA9-45C4-B6B4-F4DBF911A7C2}"/>
                  </c:ext>
                </c:extLst>
              </c15:ser>
            </c15:filteredPieSeries>
          </c:ext>
        </c:extLst>
      </c:pie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v>25.12</c:v>
          </c:tx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607-41FB-96D0-B38099552690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607-41FB-96D0-B380995526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'25.12'!$J$1:$J$9</c:f>
              <c:strCache>
                <c:ptCount val="2"/>
                <c:pt idx="0">
                  <c:v>生活</c:v>
                </c:pt>
                <c:pt idx="1">
                  <c:v>消费</c:v>
                </c:pt>
              </c:strCache>
            </c:strRef>
          </c:cat>
          <c:val>
            <c:numRef>
              <c:f>'25.12'!$K$1:$K$9</c:f>
              <c:numCache>
                <c:formatCode>0</c:formatCode>
                <c:ptCount val="2"/>
                <c:pt idx="0">
                  <c:v>3381.4700000000003</c:v>
                </c:pt>
                <c:pt idx="1">
                  <c:v>4396.04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07-41FB-96D0-B380995526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1607-41FB-96D0-B3809955269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1607-41FB-96D0-B38099552690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FFCC9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1607-41FB-96D0-B3809955269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'25.12'!$J$1:$J$9</c15:sqref>
                        </c15:formulaRef>
                      </c:ext>
                    </c:extLst>
                    <c:strCache>
                      <c:ptCount val="2"/>
                      <c:pt idx="0">
                        <c:v>生活</c:v>
                      </c:pt>
                      <c:pt idx="1">
                        <c:v>消费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'25.11'!$B$17:$B$19</c15:sqref>
                        </c15:formulaRef>
                      </c:ext>
                    </c:extLst>
                    <c:numCache>
                      <c:formatCode>0</c:formatCode>
                      <c:ptCount val="3"/>
                      <c:pt idx="0">
                        <c:v>5377.96</c:v>
                      </c:pt>
                      <c:pt idx="1">
                        <c:v>2157.14</c:v>
                      </c:pt>
                      <c:pt idx="2">
                        <c:v>1190.44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607-41FB-96D0-B38099552690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050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'25.12'!$M$1:$M$9</c:f>
              <c:strCache>
                <c:ptCount val="9"/>
                <c:pt idx="0">
                  <c:v>3080</c:v>
                </c:pt>
                <c:pt idx="8">
                  <c:v>4697</c:v>
                </c:pt>
              </c:strCache>
            </c:strRef>
          </c:tx>
          <c:dPt>
            <c:idx val="0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FC-4CFB-8D48-41AA5D864522}"/>
              </c:ext>
            </c:extLst>
          </c:dPt>
          <c:dPt>
            <c:idx val="1"/>
            <c:bubble3D val="0"/>
            <c:spPr>
              <a:pattFill prst="narVert">
                <a:fgClr>
                  <a:srgbClr val="C1DFFF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6FC-4CFB-8D48-41AA5D8645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'25.12'!$L$1:$L$9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'25.12'!$M$1:$M$9</c:f>
              <c:numCache>
                <c:formatCode>0</c:formatCode>
                <c:ptCount val="2"/>
                <c:pt idx="0">
                  <c:v>3080.28</c:v>
                </c:pt>
                <c:pt idx="1">
                  <c:v>4697.2299999999996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FC-4CFB-8D48-41AA5D86452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rgbClr val="C1DFFF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46FC-4CFB-8D48-41AA5D864522}"/>
                    </c:ext>
                  </c:extLst>
                </c:dPt>
                <c:dPt>
                  <c:idx val="1"/>
                  <c:bubble3D val="0"/>
                  <c:spPr>
                    <a:pattFill prst="wave">
                      <a:fgClr>
                        <a:srgbClr val="FFCC99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46FC-4CFB-8D48-41AA5D864522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'25.12'!$L$1:$L$9</c15:sqref>
                        </c15:formulaRef>
                      </c:ext>
                    </c:extLst>
                    <c:strCache>
                      <c:ptCount val="2"/>
                      <c:pt idx="0">
                        <c:v>周期</c:v>
                      </c:pt>
                      <c:pt idx="1">
                        <c:v>波动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'25.11'!$D$17:$D$18</c15:sqref>
                        </c15:formulaRef>
                      </c:ext>
                    </c:extLst>
                    <c:numCache>
                      <c:formatCode>0</c:formatCode>
                      <c:ptCount val="2"/>
                      <c:pt idx="0">
                        <c:v>3376.63</c:v>
                      </c:pt>
                      <c:pt idx="1">
                        <c:v>5348.9100000000008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46FC-4CFB-8D48-41AA5D864522}"/>
                  </c:ext>
                </c:extLst>
              </c15:ser>
            </c15:filteredPieSeries>
          </c:ext>
        </c:extLst>
      </c:pie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A29-4484-8E71-B2220B32B80D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29-4484-8E71-B2220B32B80D}"/>
              </c:ext>
            </c:extLst>
          </c:dPt>
          <c:dPt>
            <c:idx val="2"/>
            <c:bubble3D val="0"/>
            <c:spPr>
              <a:solidFill>
                <a:srgbClr val="FF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29-4484-8E71-B2220B32B8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'25.11'!$A$17:$A$19</c:f>
              <c:strCache>
                <c:ptCount val="3"/>
                <c:pt idx="0">
                  <c:v>生活</c:v>
                </c:pt>
                <c:pt idx="1">
                  <c:v>消费</c:v>
                </c:pt>
                <c:pt idx="2">
                  <c:v>safar</c:v>
                </c:pt>
              </c:strCache>
            </c:strRef>
          </c:cat>
          <c:val>
            <c:numRef>
              <c:f>'25.11'!$B$17:$B$19</c:f>
              <c:numCache>
                <c:formatCode>0</c:formatCode>
                <c:ptCount val="3"/>
                <c:pt idx="0">
                  <c:v>5377.96</c:v>
                </c:pt>
                <c:pt idx="1">
                  <c:v>2157.14</c:v>
                </c:pt>
                <c:pt idx="2">
                  <c:v>1190.44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29-4484-8E71-B2220B32B80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6A-434D-88B0-C202F1EA618F}"/>
              </c:ext>
            </c:extLst>
          </c:dPt>
          <c:dPt>
            <c:idx val="1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6A-434D-88B0-C202F1EA61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'25.11'!$C$17:$C$18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'25.11'!$D$17:$D$18</c:f>
              <c:numCache>
                <c:formatCode>0</c:formatCode>
                <c:ptCount val="2"/>
                <c:pt idx="0">
                  <c:v>3376.63</c:v>
                </c:pt>
                <c:pt idx="1">
                  <c:v>5348.9100000000008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6A-434D-88B0-C202F1EA61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F5-40EB-9997-C691E0A45159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F5-40EB-9997-C691E0A45159}"/>
              </c:ext>
            </c:extLst>
          </c:dPt>
          <c:dPt>
            <c:idx val="2"/>
            <c:bubble3D val="0"/>
            <c:spPr>
              <a:solidFill>
                <a:srgbClr val="FF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F5-40EB-9997-C691E0A451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'25.10'!$G$9:$G$11</c:f>
              <c:strCache>
                <c:ptCount val="3"/>
                <c:pt idx="0">
                  <c:v>生活</c:v>
                </c:pt>
                <c:pt idx="1">
                  <c:v>消费</c:v>
                </c:pt>
                <c:pt idx="2">
                  <c:v>safar</c:v>
                </c:pt>
              </c:strCache>
            </c:strRef>
          </c:cat>
          <c:val>
            <c:numRef>
              <c:f>'25.10'!$H$9:$H$11</c:f>
              <c:numCache>
                <c:formatCode>0</c:formatCode>
                <c:ptCount val="3"/>
                <c:pt idx="0">
                  <c:v>3072.44</c:v>
                </c:pt>
                <c:pt idx="1">
                  <c:v>1020.21</c:v>
                </c:pt>
                <c:pt idx="2">
                  <c:v>2041.27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F5-40EB-9997-C691E0A4515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C3-4237-A29C-5865B8FBA04A}"/>
              </c:ext>
            </c:extLst>
          </c:dPt>
          <c:dPt>
            <c:idx val="1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3-4237-A29C-5865B8FBA0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'25.10'!$I$9:$I$10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'25.10'!$J$9:$J$10</c:f>
              <c:numCache>
                <c:formatCode>0</c:formatCode>
                <c:ptCount val="2"/>
                <c:pt idx="0">
                  <c:v>2393.37</c:v>
                </c:pt>
                <c:pt idx="1">
                  <c:v>3740.55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C3-4237-A29C-5865B8FBA04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safar</a:t>
            </a:r>
            <a:r>
              <a:rPr lang="en-US" altLang="zh-CN"/>
              <a:t> consume </a:t>
            </a:r>
            <a:r>
              <a:rPr lang="en-US" altLang="zh-CN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life</a:t>
            </a:r>
            <a:r>
              <a:rPr lang="en-US" altLang="zh-CN"/>
              <a:t> 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47-4C76-B4F4-9301056A3C5C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47-4C76-B4F4-9301056A3C5C}"/>
              </c:ext>
            </c:extLst>
          </c:dPt>
          <c:dPt>
            <c:idx val="2"/>
            <c:bubble3D val="0"/>
            <c:spPr>
              <a:solidFill>
                <a:srgbClr val="FF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47-4C76-B4F4-9301056A3C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'25.9'!$G$6:$G$8</c:f>
              <c:strCache>
                <c:ptCount val="3"/>
                <c:pt idx="0">
                  <c:v>生活</c:v>
                </c:pt>
                <c:pt idx="1">
                  <c:v>消费</c:v>
                </c:pt>
                <c:pt idx="2">
                  <c:v>safar</c:v>
                </c:pt>
              </c:strCache>
            </c:strRef>
          </c:cat>
          <c:val>
            <c:numRef>
              <c:f>'25.9'!$H$6:$H$8</c:f>
              <c:numCache>
                <c:formatCode>0</c:formatCode>
                <c:ptCount val="3"/>
                <c:pt idx="0">
                  <c:v>4791.93</c:v>
                </c:pt>
                <c:pt idx="1">
                  <c:v>1879.5</c:v>
                </c:pt>
                <c:pt idx="2">
                  <c:v>5417.2199999999993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7-4C76-B4F4-9301056A3C5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生活是一连串意外的组合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1DF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5D-4BA4-8350-DF36E808C1B1}"/>
              </c:ext>
            </c:extLst>
          </c:dPt>
          <c:dPt>
            <c:idx val="1"/>
            <c:bubble3D val="0"/>
            <c:spPr>
              <a:pattFill prst="wave">
                <a:fgClr>
                  <a:srgbClr val="FFCC9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E5D-4BA4-8350-DF36E808C1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'25.9'!$I$6:$I$7</c:f>
              <c:strCache>
                <c:ptCount val="2"/>
                <c:pt idx="0">
                  <c:v>周期</c:v>
                </c:pt>
                <c:pt idx="1">
                  <c:v>波动</c:v>
                </c:pt>
              </c:strCache>
            </c:strRef>
          </c:cat>
          <c:val>
            <c:numRef>
              <c:f>'25.9'!$J$6:$J$7</c:f>
              <c:numCache>
                <c:formatCode>0</c:formatCode>
                <c:ptCount val="2"/>
                <c:pt idx="0">
                  <c:v>4220.96</c:v>
                </c:pt>
                <c:pt idx="1">
                  <c:v>7867.69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D-4BA4-8350-DF36E808C1B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0</xdr:rowOff>
    </xdr:from>
    <xdr:to>
      <xdr:col>13</xdr:col>
      <xdr:colOff>1</xdr:colOff>
      <xdr:row>20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1508F62-92D7-46F3-B251-6A7590E45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1</xdr:colOff>
      <xdr:row>20</xdr:row>
      <xdr:rowOff>0</xdr:rowOff>
    </xdr:to>
    <xdr:graphicFrame macro="">
      <xdr:nvGraphicFramePr>
        <xdr:cNvPr id="3" name="图表 6">
          <a:extLst>
            <a:ext uri="{FF2B5EF4-FFF2-40B4-BE49-F238E27FC236}">
              <a16:creationId xmlns:a16="http://schemas.microsoft.com/office/drawing/2014/main" id="{C7FA96B6-5A27-426B-870F-746630B58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0</xdr:rowOff>
    </xdr:from>
    <xdr:to>
      <xdr:col>13</xdr:col>
      <xdr:colOff>1</xdr:colOff>
      <xdr:row>20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EF6551F9-EBA6-4925-9D96-636181BED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1</xdr:colOff>
      <xdr:row>20</xdr:row>
      <xdr:rowOff>0</xdr:rowOff>
    </xdr:to>
    <xdr:graphicFrame macro="">
      <xdr:nvGraphicFramePr>
        <xdr:cNvPr id="10" name="图表 6">
          <a:extLst>
            <a:ext uri="{FF2B5EF4-FFF2-40B4-BE49-F238E27FC236}">
              <a16:creationId xmlns:a16="http://schemas.microsoft.com/office/drawing/2014/main" id="{EA25C207-D947-42F8-9BEB-BF1E31959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0</xdr:rowOff>
    </xdr:from>
    <xdr:to>
      <xdr:col>13</xdr:col>
      <xdr:colOff>1</xdr:colOff>
      <xdr:row>20</xdr:row>
      <xdr:rowOff>0</xdr:rowOff>
    </xdr:to>
    <xdr:graphicFrame macro="">
      <xdr:nvGraphicFramePr>
        <xdr:cNvPr id="2" name="图表 5">
          <a:extLst>
            <a:ext uri="{FF2B5EF4-FFF2-40B4-BE49-F238E27FC236}">
              <a16:creationId xmlns:a16="http://schemas.microsoft.com/office/drawing/2014/main" id="{4F66ACC0-C1F8-4982-BB98-802C275DB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1</xdr:colOff>
      <xdr:row>20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27E6FEE9-64FB-4272-A73C-2162B95EC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0</xdr:rowOff>
    </xdr:from>
    <xdr:to>
      <xdr:col>13</xdr:col>
      <xdr:colOff>1</xdr:colOff>
      <xdr:row>20</xdr:row>
      <xdr:rowOff>0</xdr:rowOff>
    </xdr:to>
    <xdr:graphicFrame macro="">
      <xdr:nvGraphicFramePr>
        <xdr:cNvPr id="4" name="图表 5">
          <a:extLst>
            <a:ext uri="{FF2B5EF4-FFF2-40B4-BE49-F238E27FC236}">
              <a16:creationId xmlns:a16="http://schemas.microsoft.com/office/drawing/2014/main" id="{DE93FC7D-E8AD-4DD1-BCBC-363A5AF42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1</xdr:colOff>
      <xdr:row>20</xdr:row>
      <xdr:rowOff>0</xdr:rowOff>
    </xdr:to>
    <xdr:graphicFrame macro="">
      <xdr:nvGraphicFramePr>
        <xdr:cNvPr id="6" name="图表 6">
          <a:extLst>
            <a:ext uri="{FF2B5EF4-FFF2-40B4-BE49-F238E27FC236}">
              <a16:creationId xmlns:a16="http://schemas.microsoft.com/office/drawing/2014/main" id="{024FF715-43A9-4723-BFE4-91FA8B355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16</xdr:row>
      <xdr:rowOff>0</xdr:rowOff>
    </xdr:from>
    <xdr:to>
      <xdr:col>5</xdr:col>
      <xdr:colOff>558165</xdr:colOff>
      <xdr:row>28</xdr:row>
      <xdr:rowOff>0</xdr:rowOff>
    </xdr:to>
    <xdr:graphicFrame macro="">
      <xdr:nvGraphicFramePr>
        <xdr:cNvPr id="14" name="图表 5">
          <a:extLst>
            <a:ext uri="{FF2B5EF4-FFF2-40B4-BE49-F238E27FC236}">
              <a16:creationId xmlns:a16="http://schemas.microsoft.com/office/drawing/2014/main" id="{D57E11A8-858A-4DED-9153-A73E7E774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180973</xdr:rowOff>
    </xdr:from>
    <xdr:to>
      <xdr:col>2</xdr:col>
      <xdr:colOff>542925</xdr:colOff>
      <xdr:row>27</xdr:row>
      <xdr:rowOff>180974</xdr:rowOff>
    </xdr:to>
    <xdr:graphicFrame macro="">
      <xdr:nvGraphicFramePr>
        <xdr:cNvPr id="15" name="图表 6">
          <a:extLst>
            <a:ext uri="{FF2B5EF4-FFF2-40B4-BE49-F238E27FC236}">
              <a16:creationId xmlns:a16="http://schemas.microsoft.com/office/drawing/2014/main" id="{47209CEB-0330-4523-9E4A-D21202760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10844</xdr:colOff>
      <xdr:row>1</xdr:row>
      <xdr:rowOff>0</xdr:rowOff>
    </xdr:from>
    <xdr:to>
      <xdr:col>12</xdr:col>
      <xdr:colOff>200026</xdr:colOff>
      <xdr:row>22</xdr:row>
      <xdr:rowOff>47625</xdr:rowOff>
    </xdr:to>
    <xdr:graphicFrame macro="">
      <xdr:nvGraphicFramePr>
        <xdr:cNvPr id="5" name="图表 5">
          <a:extLst>
            <a:ext uri="{FF2B5EF4-FFF2-40B4-BE49-F238E27FC236}">
              <a16:creationId xmlns:a16="http://schemas.microsoft.com/office/drawing/2014/main" id="{FF66D39A-D9BD-40B3-A74B-5D9DC7FB4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</xdr:colOff>
      <xdr:row>1</xdr:row>
      <xdr:rowOff>5715</xdr:rowOff>
    </xdr:from>
    <xdr:to>
      <xdr:col>9</xdr:col>
      <xdr:colOff>5861</xdr:colOff>
      <xdr:row>22</xdr:row>
      <xdr:rowOff>42935</xdr:rowOff>
    </xdr:to>
    <xdr:graphicFrame macro="">
      <xdr:nvGraphicFramePr>
        <xdr:cNvPr id="6" name="图表 6">
          <a:extLst>
            <a:ext uri="{FF2B5EF4-FFF2-40B4-BE49-F238E27FC236}">
              <a16:creationId xmlns:a16="http://schemas.microsoft.com/office/drawing/2014/main" id="{4E58C232-B176-40D9-A42C-637352A39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53340</xdr:colOff>
      <xdr:row>16</xdr:row>
      <xdr:rowOff>72390</xdr:rowOff>
    </xdr:from>
    <xdr:to>
      <xdr:col>4</xdr:col>
      <xdr:colOff>457199</xdr:colOff>
      <xdr:row>19</xdr:row>
      <xdr:rowOff>11430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FE513ED1-D41B-4F37-B99B-DEC1D92EF5E2}"/>
            </a:ext>
          </a:extLst>
        </xdr:cNvPr>
        <xdr:cNvSpPr txBox="1"/>
      </xdr:nvSpPr>
      <xdr:spPr>
        <a:xfrm>
          <a:off x="53340" y="1815465"/>
          <a:ext cx="3623309" cy="4819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买了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action4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和配件花了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1.5k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 b="0">
              <a:latin typeface="仿宋" panose="02010609060101010101" pitchFamily="49" charset="-122"/>
              <a:ea typeface="仿宋" panose="02010609060101010101" pitchFamily="49" charset="-122"/>
            </a:rPr>
            <a:t>双十一补充了很多东西</a:t>
          </a:r>
          <a:r>
            <a:rPr lang="en-US" altLang="zh-CN" sz="1100" b="0">
              <a:latin typeface="仿宋" panose="02010609060101010101" pitchFamily="49" charset="-122"/>
              <a:ea typeface="仿宋" panose="02010609060101010101" pitchFamily="49" charset="-122"/>
            </a:rPr>
            <a:t>..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73478</xdr:colOff>
      <xdr:row>8</xdr:row>
      <xdr:rowOff>65314</xdr:rowOff>
    </xdr:from>
    <xdr:to>
      <xdr:col>4</xdr:col>
      <xdr:colOff>631372</xdr:colOff>
      <xdr:row>17</xdr:row>
      <xdr:rowOff>26126</xdr:rowOff>
    </xdr:to>
    <xdr:sp macro="" textlink="">
      <xdr:nvSpPr>
        <xdr:cNvPr id="58" name="文本框 1">
          <a:extLst>
            <a:ext uri="{FF2B5EF4-FFF2-40B4-BE49-F238E27FC236}">
              <a16:creationId xmlns:a16="http://schemas.microsoft.com/office/drawing/2014/main" id="{9DB87C7B-AD29-7905-EAF8-39BC52BD02DA}"/>
            </a:ext>
          </a:extLst>
        </xdr:cNvPr>
        <xdr:cNvSpPr txBox="1"/>
      </xdr:nvSpPr>
      <xdr:spPr>
        <a:xfrm>
          <a:off x="73478" y="1641565"/>
          <a:ext cx="4424500" cy="16067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开学的花费是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1.1k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，主要添置了小电器（吹风机，烧水杯等）；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回家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1.1k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25.9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大连四天花了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2.4k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25.11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日本目前花了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2.4k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穿戴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1.4k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买了件冲锋衣和一个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lulu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的包；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电影演出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550r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，看了排舞，下个月看两场电影；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做了美甲和烫头一共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340r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；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游泳健身网球课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570r</a:t>
          </a:r>
        </a:p>
      </xdr:txBody>
    </xdr:sp>
    <xdr:clientData/>
  </xdr:twoCellAnchor>
  <xdr:twoCellAnchor>
    <xdr:from>
      <xdr:col>0</xdr:col>
      <xdr:colOff>76492</xdr:colOff>
      <xdr:row>17</xdr:row>
      <xdr:rowOff>90685</xdr:rowOff>
    </xdr:from>
    <xdr:to>
      <xdr:col>2</xdr:col>
      <xdr:colOff>685968</xdr:colOff>
      <xdr:row>23</xdr:row>
      <xdr:rowOff>1507</xdr:rowOff>
    </xdr:to>
    <xdr:sp macro="" textlink="">
      <xdr:nvSpPr>
        <xdr:cNvPr id="87" name="文本框 2">
          <a:extLst>
            <a:ext uri="{FF2B5EF4-FFF2-40B4-BE49-F238E27FC236}">
              <a16:creationId xmlns:a16="http://schemas.microsoft.com/office/drawing/2014/main" id="{031BC8A0-7201-4A6F-A0C2-61278981E56B}"/>
            </a:ext>
          </a:extLst>
        </xdr:cNvPr>
        <xdr:cNvSpPr txBox="1"/>
      </xdr:nvSpPr>
      <xdr:spPr>
        <a:xfrm>
          <a:off x="76492" y="3296947"/>
          <a:ext cx="2789968" cy="10010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【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大连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】18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深夜到，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21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下午走，合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4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天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3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晚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景点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+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体验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300r</a:t>
          </a: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交通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1100r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（高铁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+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飞机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800r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）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饮食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630r【210r/】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（日料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280r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）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住宿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399r【133r/】</a:t>
          </a:r>
          <a:endParaRPr lang="zh-CN" altLang="en-US" sz="1100">
            <a:latin typeface="仿宋" panose="02010609060101010101" pitchFamily="49" charset="-122"/>
            <a:ea typeface="仿宋" panose="02010609060101010101" pitchFamily="49" charset="-122"/>
          </a:endParaRPr>
        </a:p>
      </xdr:txBody>
    </xdr:sp>
    <xdr:clientData/>
  </xdr:twoCellAnchor>
  <xdr:twoCellAnchor>
    <xdr:from>
      <xdr:col>0</xdr:col>
      <xdr:colOff>77999</xdr:colOff>
      <xdr:row>23</xdr:row>
      <xdr:rowOff>54345</xdr:rowOff>
    </xdr:from>
    <xdr:to>
      <xdr:col>2</xdr:col>
      <xdr:colOff>687475</xdr:colOff>
      <xdr:row>28</xdr:row>
      <xdr:rowOff>145702</xdr:rowOff>
    </xdr:to>
    <xdr:sp macro="" textlink="">
      <xdr:nvSpPr>
        <xdr:cNvPr id="88" name="文本框 3">
          <a:extLst>
            <a:ext uri="{FF2B5EF4-FFF2-40B4-BE49-F238E27FC236}">
              <a16:creationId xmlns:a16="http://schemas.microsoft.com/office/drawing/2014/main" id="{591914D3-8BBD-44E3-8FAD-D70F58EEAF0F}"/>
            </a:ext>
          </a:extLst>
        </xdr:cNvPr>
        <xdr:cNvSpPr txBox="1"/>
      </xdr:nvSpPr>
      <xdr:spPr>
        <a:xfrm>
          <a:off x="77999" y="4350853"/>
          <a:ext cx="2789968" cy="9998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【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藤泽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】26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深夜到，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30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下午走，合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5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天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4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晚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交通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920r</a:t>
          </a:r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（飞机）</a:t>
          </a:r>
          <a:endParaRPr lang="en-US" altLang="zh-CN" sz="1100">
            <a:latin typeface="仿宋" panose="02010609060101010101" pitchFamily="49" charset="-122"/>
            <a:ea typeface="仿宋" panose="02010609060101010101" pitchFamily="49" charset="-122"/>
          </a:endParaRP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住宿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1240r【310r/】</a:t>
          </a: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流量卡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26r</a:t>
          </a:r>
        </a:p>
        <a:p>
          <a:r>
            <a:rPr lang="zh-CN" altLang="en-US" sz="1100">
              <a:latin typeface="仿宋" panose="02010609060101010101" pitchFamily="49" charset="-122"/>
              <a:ea typeface="仿宋" panose="02010609060101010101" pitchFamily="49" charset="-122"/>
            </a:rPr>
            <a:t>签证 </a:t>
          </a:r>
          <a:r>
            <a:rPr lang="en-US" altLang="zh-CN" sz="1100">
              <a:latin typeface="仿宋" panose="02010609060101010101" pitchFamily="49" charset="-122"/>
              <a:ea typeface="仿宋" panose="02010609060101010101" pitchFamily="49" charset="-122"/>
            </a:rPr>
            <a:t>239r</a:t>
          </a:r>
        </a:p>
        <a:p>
          <a:endParaRPr lang="zh-CN" altLang="en-US" sz="1100">
            <a:latin typeface="仿宋" panose="02010609060101010101" pitchFamily="49" charset="-122"/>
            <a:ea typeface="仿宋" panose="02010609060101010101" pitchFamily="49" charset="-122"/>
          </a:endParaRPr>
        </a:p>
      </xdr:txBody>
    </xdr:sp>
    <xdr:clientData/>
  </xdr:twoCellAnchor>
  <xdr:twoCellAnchor>
    <xdr:from>
      <xdr:col>8</xdr:col>
      <xdr:colOff>738553</xdr:colOff>
      <xdr:row>5</xdr:row>
      <xdr:rowOff>5862</xdr:rowOff>
    </xdr:from>
    <xdr:to>
      <xdr:col>12</xdr:col>
      <xdr:colOff>298938</xdr:colOff>
      <xdr:row>17</xdr:row>
      <xdr:rowOff>41030</xdr:rowOff>
    </xdr:to>
    <xdr:graphicFrame macro="">
      <xdr:nvGraphicFramePr>
        <xdr:cNvPr id="98" name="图表 5">
          <a:extLst>
            <a:ext uri="{FF2B5EF4-FFF2-40B4-BE49-F238E27FC236}">
              <a16:creationId xmlns:a16="http://schemas.microsoft.com/office/drawing/2014/main" id="{8C8E4268-2248-E3E5-A0A1-861217538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5</xdr:row>
      <xdr:rowOff>5861</xdr:rowOff>
    </xdr:from>
    <xdr:to>
      <xdr:col>9</xdr:col>
      <xdr:colOff>5861</xdr:colOff>
      <xdr:row>17</xdr:row>
      <xdr:rowOff>41030</xdr:rowOff>
    </xdr:to>
    <xdr:graphicFrame macro="">
      <xdr:nvGraphicFramePr>
        <xdr:cNvPr id="100" name="图表 6">
          <a:extLst>
            <a:ext uri="{FF2B5EF4-FFF2-40B4-BE49-F238E27FC236}">
              <a16:creationId xmlns:a16="http://schemas.microsoft.com/office/drawing/2014/main" id="{6B31E08B-CADF-801B-42CD-C5A7C275E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225878</xdr:colOff>
      <xdr:row>10</xdr:row>
      <xdr:rowOff>50890</xdr:rowOff>
    </xdr:from>
    <xdr:to>
      <xdr:col>4</xdr:col>
      <xdr:colOff>628650</xdr:colOff>
      <xdr:row>17</xdr:row>
      <xdr:rowOff>28574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8C91F09-DC3B-4C79-90B2-B51B15F16C8A}"/>
            </a:ext>
          </a:extLst>
        </xdr:cNvPr>
        <xdr:cNvSpPr txBox="1"/>
      </xdr:nvSpPr>
      <xdr:spPr>
        <a:xfrm>
          <a:off x="3464378" y="1974940"/>
          <a:ext cx="1450522" cy="12445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latin typeface="仿宋" panose="02010609060101010101" pitchFamily="49" charset="-122"/>
              <a:ea typeface="仿宋" panose="02010609060101010101" pitchFamily="49" charset="-122"/>
            </a:rPr>
            <a:t>此为</a:t>
          </a:r>
          <a:r>
            <a:rPr lang="en-US" altLang="zh-CN" sz="1100" b="1">
              <a:latin typeface="仿宋" panose="02010609060101010101" pitchFamily="49" charset="-122"/>
              <a:ea typeface="仿宋" panose="02010609060101010101" pitchFamily="49" charset="-122"/>
            </a:rPr>
            <a:t>9.8k</a:t>
          </a:r>
        </a:p>
        <a:p>
          <a:r>
            <a:rPr lang="zh-CN" altLang="en-US" sz="1100" b="0">
              <a:latin typeface="仿宋" panose="02010609060101010101" pitchFamily="49" charset="-122"/>
              <a:ea typeface="仿宋" panose="02010609060101010101" pitchFamily="49" charset="-122"/>
            </a:rPr>
            <a:t>旅游</a:t>
          </a:r>
          <a:r>
            <a:rPr lang="en-US" altLang="zh-CN" sz="1100" b="0">
              <a:latin typeface="仿宋" panose="02010609060101010101" pitchFamily="49" charset="-122"/>
              <a:ea typeface="仿宋" panose="02010609060101010101" pitchFamily="49" charset="-122"/>
            </a:rPr>
            <a:t>4.8k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en-US</v>
    <v>avbknm</v>
    <v>268435456</v>
    <v>1</v>
    <v>Powered by Refinitiv</v>
    <v>0</v>
    <v>HKD/CNY</v>
    <v>2</v>
    <v>3</v>
    <v>Finance</v>
    <v>4</v>
    <v>0.94799999999999995</v>
    <v>0.87109999999999999</v>
    <v>-1E-4</v>
    <v>-1.147E-4</v>
    <v>CNY</v>
    <v>HKD</v>
    <v>Currency Pair</v>
    <v>46122.874965277777</v>
    <v>Hong Kong Dollar/Chinese Renminbi FX Cross Rate</v>
    <v>0.87190000000000001</v>
    <v>0.87180000000000002</v>
    <v>HKDCNY</v>
    <v>HKD/CNY</v>
  </rv>
  <rv s="1">
    <v>0</v>
  </rv>
  <rv s="0">
    <v>en-US</v>
    <v>avym77</v>
    <v>268435456</v>
    <v>1</v>
    <v>Powered by Refinitiv</v>
    <v>0</v>
    <v>USD/CNY</v>
    <v>2</v>
    <v>3</v>
    <v>Finance</v>
    <v>4</v>
    <v>7.3509000000000002</v>
    <v>6.8235999999999999</v>
    <v>-3.5999999999999999E-3</v>
    <v>-5.2700000000000002E-4</v>
    <v>CNY</v>
    <v>USD</v>
    <v>Currency Pair</v>
    <v>46122.645324074074</v>
    <v>US Dollar/Chinese Renminbi FX Spot Rate</v>
    <v>6.8314000000000004</v>
    <v>6.8277999999999999</v>
    <v>USDCNY</v>
    <v>USD/CNY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Instrument type" t="s"/>
    <k n="Last trade time"/>
    <k n="Name" t="s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4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2</v>
      <v>2</v>
      <v>3</v>
      <v>2</v>
      <v>2</v>
      <v>2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Name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3">
    <x:dxf>
      <x:numFmt numFmtId="0" formatCode="General"/>
    </x:dxf>
    <x:dxf>
      <x:numFmt numFmtId="27" formatCode="yyyy/m/d\ h:mm"/>
    </x:dxf>
    <x:dxf>
      <x:numFmt numFmtId="14" formatCode="0.00%"/>
    </x:dxf>
  </dxfs>
  <richProperties>
    <rPr n="IsTitleField" t="b"/>
    <rPr n="NumberFormat" t="s"/>
  </richProperties>
  <richStyles>
    <rSty>
      <rpv i="0">1</rpv>
    </rSty>
    <rSty dxfid="0">
      <rpv i="1" xml:space="preserve">_ [$¥-zh-CN]* #,##0.00_ ;_ [$¥-zh-CN]* -#,##0.00_ ;_ [$¥-zh-CN]* "-"??_ ;_ @_ </rpv>
    </rSty>
    <rSty dxfid="2"/>
    <rSty dxfid="1"/>
    <rSty dxfid="0">
      <rpv i="1">0.00_);[Red](0.00)</rpv>
    </rSty>
  </richStyles>
</richStyleSheet>
</file>

<file path=xl/theme/theme1.xml><?xml version="1.0" encoding="utf-8"?>
<a:theme xmlns:a="http://schemas.openxmlformats.org/drawingml/2006/main" name="Office 主题​​">
  <a:themeElements>
    <a:clrScheme name="自定义 1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E49EDD"/>
      </a:accent3>
      <a:accent4>
        <a:srgbClr val="196B24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njuanfunds.com/djmodule/value-center?channel=130010014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A678-E868-47AF-AAA7-4C4B6B3608D8}">
  <sheetPr codeName="Sheet1"/>
  <dimension ref="A1:X70"/>
  <sheetViews>
    <sheetView zoomScaleNormal="100" workbookViewId="0">
      <selection activeCell="E21" sqref="E21"/>
    </sheetView>
  </sheetViews>
  <sheetFormatPr defaultColWidth="8.75" defaultRowHeight="15" customHeight="1" x14ac:dyDescent="0.2"/>
  <cols>
    <col min="1" max="1" width="15.25" style="1" customWidth="1"/>
    <col min="2" max="2" width="9.375" style="1" customWidth="1"/>
    <col min="3" max="3" width="12" style="1" customWidth="1"/>
    <col min="4" max="4" width="8.125" style="1" customWidth="1"/>
    <col min="5" max="5" width="9" style="1" customWidth="1"/>
    <col min="6" max="7" width="8.125" style="1" customWidth="1"/>
    <col min="8" max="8" width="9.375" style="1" customWidth="1"/>
    <col min="9" max="10" width="10.125" style="1" customWidth="1"/>
    <col min="11" max="11" width="10.25" style="1" customWidth="1"/>
    <col min="12" max="12" width="9.375" style="1" customWidth="1"/>
    <col min="13" max="13" width="7.125" style="1" customWidth="1"/>
    <col min="14" max="14" width="6" style="1" customWidth="1"/>
    <col min="15" max="15" width="5.875" style="1" customWidth="1"/>
    <col min="16" max="16" width="10.375" style="1" customWidth="1"/>
    <col min="17" max="17" width="9.5" style="17" customWidth="1"/>
    <col min="18" max="19" width="9.375" style="1" customWidth="1"/>
    <col min="20" max="20" width="11.375" style="1" customWidth="1"/>
    <col min="21" max="21" width="5" style="1" customWidth="1"/>
    <col min="22" max="22" width="7.125" style="1" customWidth="1"/>
    <col min="23" max="23" width="8.125" style="1" customWidth="1"/>
    <col min="24" max="16384" width="8.75" style="1"/>
  </cols>
  <sheetData>
    <row r="1" spans="1:24" ht="15" customHeight="1" x14ac:dyDescent="0.2">
      <c r="A1" s="240" t="str">
        <f ca="1">YEAR(TODAY())&amp;"年"&amp;MONTH(TODAY())&amp;"月"</f>
        <v>2026年4月</v>
      </c>
      <c r="B1" s="136" t="s">
        <v>67</v>
      </c>
      <c r="C1" s="137">
        <f ca="1">年!T4+1</f>
        <v>20</v>
      </c>
      <c r="D1" s="239" t="s">
        <v>68</v>
      </c>
      <c r="H1" s="111" t="s">
        <v>89</v>
      </c>
      <c r="I1" s="107" t="s">
        <v>70</v>
      </c>
      <c r="J1" s="108" t="s">
        <v>59</v>
      </c>
      <c r="K1" s="71" t="s">
        <v>101</v>
      </c>
      <c r="L1" s="148">
        <f ca="1">(now!Q28-now!Q29)*7</f>
        <v>31.801621265058145</v>
      </c>
      <c r="M1" s="147"/>
      <c r="N1" s="147"/>
      <c r="O1" s="71"/>
      <c r="T1" s="71"/>
    </row>
    <row r="2" spans="1:24" ht="15" customHeight="1" x14ac:dyDescent="0.2">
      <c r="A2" s="77" t="s">
        <v>211</v>
      </c>
      <c r="B2" s="1">
        <f ca="1">SUM(now!K13:M13)</f>
        <v>0</v>
      </c>
      <c r="C2" s="1" t="s">
        <v>121</v>
      </c>
      <c r="D2" s="241">
        <f ca="1">C1-B3-B2</f>
        <v>20</v>
      </c>
      <c r="H2" s="77" t="s">
        <v>96</v>
      </c>
      <c r="I2" s="32">
        <f ca="1">SUM($L$2:$CD$2)</f>
        <v>554.69585819275369</v>
      </c>
      <c r="J2" s="117">
        <f ca="1">SUM($L$1:$AN$1)</f>
        <v>31.801621265058145</v>
      </c>
      <c r="K2" s="81" t="s">
        <v>97</v>
      </c>
      <c r="L2" s="149">
        <f ca="1">((now!K33-年!P5)/30*(D2+B3*1.5)
+now!$R$29*MIN(7,C1))/3</f>
        <v>554.69585819275369</v>
      </c>
      <c r="M2" s="145"/>
      <c r="O2" s="64"/>
      <c r="T2" s="82"/>
      <c r="U2" s="82"/>
      <c r="V2" s="82"/>
    </row>
    <row r="3" spans="1:24" ht="15" customHeight="1" thickBot="1" x14ac:dyDescent="0.25">
      <c r="A3" s="78" t="s">
        <v>212</v>
      </c>
      <c r="B3" s="245">
        <f ca="1">SUM(now!O13:Q13)</f>
        <v>0</v>
      </c>
      <c r="C3" s="398" t="str">
        <f ca="1">FLOOR((YEAR(TODAY())-2003)/80*24,1)
&amp;":"&amp;ROUND(((TODAY()-年!M4)/(90/4*(4*365+1))*24-FLOOR((TODAY()-年!M4)/(90/4*(4*365+1))*24,1))*60,0)</f>
        <v>6:13</v>
      </c>
      <c r="D3" s="399"/>
      <c r="E3" s="203"/>
      <c r="F3"/>
      <c r="H3" s="135" t="s">
        <v>192</v>
      </c>
      <c r="I3" s="32">
        <f ca="1">SUM($L$4:$BV$4)</f>
        <v>71.232876712328761</v>
      </c>
      <c r="J3" s="92">
        <f ca="1">SUM($L$3:$BE$3)</f>
        <v>59.060153777965127</v>
      </c>
      <c r="K3" s="71" t="s">
        <v>92</v>
      </c>
      <c r="L3" s="150">
        <f ca="1">MAX((now!Q28-now!Q29)*月初!C1-月初!L1,0)</f>
        <v>59.060153777965127</v>
      </c>
      <c r="O3" s="147"/>
      <c r="P3" s="147"/>
      <c r="R3" s="147"/>
      <c r="S3" s="147"/>
      <c r="T3" s="147"/>
      <c r="X3" s="71"/>
    </row>
    <row r="4" spans="1:24" ht="15" customHeight="1" thickBot="1" x14ac:dyDescent="0.25">
      <c r="A4" s="1" t="s">
        <v>240</v>
      </c>
      <c r="B4" s="246">
        <f>1978.92+26.8</f>
        <v>2005.72</v>
      </c>
      <c r="D4" s="64"/>
      <c r="E4" s="162"/>
      <c r="F4" s="162"/>
      <c r="H4" s="78" t="s">
        <v>193</v>
      </c>
      <c r="I4" s="109">
        <f ca="1">SUM($L$6:$BP$6)</f>
        <v>5033.4166295905097</v>
      </c>
      <c r="J4" s="110">
        <f ca="1">SUM($L$5:$BP$5)</f>
        <v>27565.892662564533</v>
      </c>
      <c r="K4" s="83" t="s">
        <v>93</v>
      </c>
      <c r="L4" s="149">
        <f ca="1">MAX(now!$R$29*(C1-7),0)+B3*200+now!P15</f>
        <v>71.232876712328761</v>
      </c>
      <c r="T4" s="71"/>
      <c r="V4" s="71"/>
      <c r="W4" s="71"/>
      <c r="X4" s="71"/>
    </row>
    <row r="5" spans="1:24" s="71" customFormat="1" ht="15" customHeight="1" x14ac:dyDescent="0.2">
      <c r="A5" s="17"/>
      <c r="F5" s="248"/>
      <c r="H5" s="249"/>
      <c r="K5" s="161" t="s">
        <v>94</v>
      </c>
      <c r="L5" s="150">
        <f ca="1">now!Q28*30+IF(B4&gt;0,0)</f>
        <v>4196.292662564535</v>
      </c>
      <c r="M5" s="264">
        <f>A20</f>
        <v>23369.599999999999</v>
      </c>
      <c r="Q5" s="17"/>
    </row>
    <row r="6" spans="1:24" ht="15" customHeight="1" x14ac:dyDescent="0.2">
      <c r="A6" s="202"/>
      <c r="E6" s="64"/>
      <c r="K6" s="81" t="s">
        <v>95</v>
      </c>
      <c r="L6" s="151">
        <f ca="1">now!K33     +N("生活")
+now!R29*30     +N("预算")+
MAX(ABS(B4)   +N("credit")-月初!M2-月初!M6,0)</f>
        <v>5033.4166295905097</v>
      </c>
      <c r="M6" s="145"/>
      <c r="X6" s="71"/>
    </row>
    <row r="7" spans="1:24" ht="3.75" customHeight="1" x14ac:dyDescent="0.2">
      <c r="B7" s="162"/>
      <c r="D7" s="1">
        <v>0</v>
      </c>
      <c r="O7" s="7"/>
      <c r="P7" s="341"/>
      <c r="Q7" s="284"/>
      <c r="R7" s="168"/>
    </row>
    <row r="8" spans="1:24" ht="15" customHeight="1" x14ac:dyDescent="0.2">
      <c r="A8" s="80"/>
      <c r="B8" s="80"/>
      <c r="C8" s="80" t="s">
        <v>65</v>
      </c>
      <c r="D8" s="80"/>
      <c r="E8" s="80" t="s">
        <v>64</v>
      </c>
      <c r="F8" s="80" t="s">
        <v>66</v>
      </c>
      <c r="G8" s="90" t="s">
        <v>132</v>
      </c>
      <c r="H8" s="90" t="s">
        <v>118</v>
      </c>
      <c r="I8" s="91" t="s">
        <v>102</v>
      </c>
      <c r="J8" s="91" t="s">
        <v>104</v>
      </c>
      <c r="K8" s="80" t="s">
        <v>90</v>
      </c>
      <c r="L8" s="80" t="s">
        <v>91</v>
      </c>
      <c r="R8" s="32"/>
    </row>
    <row r="9" spans="1:24" ht="15" customHeight="1" x14ac:dyDescent="0.2">
      <c r="A9" s="80"/>
      <c r="B9" s="80"/>
      <c r="C9" s="80"/>
      <c r="D9" s="80"/>
      <c r="E9" s="105"/>
      <c r="F9" s="106"/>
      <c r="G9" s="80"/>
      <c r="H9" s="80" t="s">
        <v>322</v>
      </c>
      <c r="I9" s="314"/>
      <c r="J9" s="86">
        <f ca="1">I9+J2</f>
        <v>31.801621265058145</v>
      </c>
      <c r="K9" s="86">
        <f ca="1">J9+J3</f>
        <v>90.861775043023272</v>
      </c>
      <c r="L9" s="86">
        <f ca="1">K9+J4</f>
        <v>27656.754437607557</v>
      </c>
      <c r="R9" s="32"/>
    </row>
    <row r="10" spans="1:24" ht="15" customHeight="1" x14ac:dyDescent="0.2">
      <c r="A10" s="375" t="s">
        <v>262</v>
      </c>
      <c r="B10" s="400" t="s">
        <v>253</v>
      </c>
      <c r="C10" s="400"/>
      <c r="D10" s="400"/>
      <c r="E10" s="1" t="s">
        <v>218</v>
      </c>
      <c r="F10" s="85">
        <f ca="1">MAX(_xlfn.CEILING.MATH(H10-G10,1),0)</f>
        <v>0</v>
      </c>
      <c r="G10" s="282">
        <v>316.2</v>
      </c>
      <c r="H10" s="32">
        <f ca="1">年!P5/30*D2</f>
        <v>283.14396843641669</v>
      </c>
      <c r="I10" s="86">
        <f ca="1">I9-F10</f>
        <v>0</v>
      </c>
      <c r="J10" s="218">
        <f t="shared" ref="J10:L11" ca="1" si="0">J9+I10-I9</f>
        <v>31.801621265058145</v>
      </c>
      <c r="K10" s="218">
        <f t="shared" ca="1" si="0"/>
        <v>90.861775043023272</v>
      </c>
      <c r="L10" s="218">
        <f t="shared" ca="1" si="0"/>
        <v>27656.754437607557</v>
      </c>
      <c r="R10" s="17"/>
    </row>
    <row r="11" spans="1:24" ht="15" customHeight="1" x14ac:dyDescent="0.2">
      <c r="A11" s="375"/>
      <c r="B11" s="400" t="s">
        <v>96</v>
      </c>
      <c r="C11" s="400"/>
      <c r="D11" s="400"/>
      <c r="E11" s="1" t="s">
        <v>16</v>
      </c>
      <c r="F11" s="85">
        <f ca="1">MAX(H11-G11,0)</f>
        <v>0</v>
      </c>
      <c r="G11" s="282">
        <f>32.84+933.53</f>
        <v>966.37</v>
      </c>
      <c r="H11" s="32">
        <f ca="1">I2</f>
        <v>554.69585819275369</v>
      </c>
      <c r="I11" s="86">
        <f ca="1">I10-F11</f>
        <v>0</v>
      </c>
      <c r="J11" s="218">
        <f t="shared" ca="1" si="0"/>
        <v>31.801621265058145</v>
      </c>
      <c r="K11" s="218">
        <f t="shared" ca="1" si="0"/>
        <v>90.861775043023272</v>
      </c>
      <c r="L11" s="218">
        <f t="shared" ca="1" si="0"/>
        <v>27656.754437607557</v>
      </c>
    </row>
    <row r="12" spans="1:24" ht="15" customHeight="1" x14ac:dyDescent="0.2">
      <c r="A12" s="375"/>
      <c r="B12" s="400" t="s">
        <v>261</v>
      </c>
      <c r="C12" s="400"/>
      <c r="D12" s="400"/>
      <c r="E12" s="1" t="s">
        <v>8</v>
      </c>
      <c r="F12" s="118">
        <f ca="1">MAX(H12-G12,0)</f>
        <v>0</v>
      </c>
      <c r="G12" s="374">
        <v>1840</v>
      </c>
      <c r="H12" s="218">
        <f ca="1">月初!I3       +N("月内预算支出")+now!P15</f>
        <v>71.232876712328761</v>
      </c>
      <c r="I12" s="283">
        <f ca="1">IF(I11&gt;F12,I11-F12,I11)</f>
        <v>0</v>
      </c>
      <c r="J12" s="32">
        <f ca="1">IF(I11&gt;F12,J11,IF(J11&gt;F12,J11-F12,J11))+I12-I11</f>
        <v>31.801621265058145</v>
      </c>
      <c r="K12" s="284">
        <f ca="1">K11+IF(J11=J12,-F12,-J11+J12)</f>
        <v>90.861775043023272</v>
      </c>
      <c r="L12" s="218">
        <f ca="1">L11+K12-K11</f>
        <v>27656.754437607557</v>
      </c>
    </row>
    <row r="13" spans="1:24" ht="15" customHeight="1" thickBot="1" x14ac:dyDescent="0.25">
      <c r="A13" s="376"/>
      <c r="B13" s="383" t="s">
        <v>115</v>
      </c>
      <c r="C13" s="383"/>
      <c r="D13" s="383"/>
      <c r="E13" s="129" t="s">
        <v>8</v>
      </c>
      <c r="F13" s="285">
        <f ca="1">MAX(H13-IF(F12=0,(G12-H12)),0)</f>
        <v>3264.6495063028387</v>
      </c>
      <c r="G13" s="398"/>
      <c r="H13" s="286">
        <f ca="1">月初!I4      +N("月外预算支出")</f>
        <v>5033.4166295905097</v>
      </c>
      <c r="I13" s="287">
        <f ca="1">IF(I12&gt;F13,I12-F13,I12)</f>
        <v>0</v>
      </c>
      <c r="J13" s="109">
        <f ca="1">IF(I12&gt;F13,J12,IF(J12&gt;F13,J12-F13,J12))+I13-I12</f>
        <v>31.801621265058145</v>
      </c>
      <c r="K13" s="109">
        <f ca="1">IF(J12&gt;F13,K12,IF(K12&gt;F13,+K12-F13,K12))+J13-J12</f>
        <v>90.861775043023272</v>
      </c>
      <c r="L13" s="288">
        <f ca="1">IF(AND(I12&lt;F13,K12&lt;F13),-F13,0)+L12+K13-K12</f>
        <v>24392.104931304719</v>
      </c>
    </row>
    <row r="14" spans="1:24" ht="15" hidden="1" customHeight="1" x14ac:dyDescent="0.2">
      <c r="A14" s="374" t="s">
        <v>82</v>
      </c>
      <c r="B14" s="382" t="s">
        <v>130</v>
      </c>
      <c r="C14" s="382"/>
      <c r="D14" s="146"/>
      <c r="E14" s="1" t="s">
        <v>259</v>
      </c>
      <c r="F14" s="118">
        <f ca="1">年!V1</f>
        <v>0</v>
      </c>
      <c r="G14" s="118">
        <f ca="1">年!U1</f>
        <v>0</v>
      </c>
      <c r="H14" s="259" t="s">
        <v>239</v>
      </c>
      <c r="I14" s="86">
        <f ca="1">I13-年!R1</f>
        <v>0</v>
      </c>
      <c r="J14" s="218">
        <f ca="1">J13+I14-I13</f>
        <v>31.801621265058145</v>
      </c>
      <c r="K14" s="218">
        <f ca="1">K13+J14-J13</f>
        <v>90.861775043023272</v>
      </c>
      <c r="L14" s="218">
        <f ca="1">L13+K14-K13</f>
        <v>24392.104931304719</v>
      </c>
    </row>
    <row r="15" spans="1:24" ht="15" customHeight="1" x14ac:dyDescent="0.2">
      <c r="A15" s="374"/>
      <c r="B15" s="382" t="s">
        <v>86</v>
      </c>
      <c r="C15" s="382"/>
      <c r="D15" s="146">
        <v>0.5</v>
      </c>
      <c r="E15" s="1" t="s">
        <v>260</v>
      </c>
      <c r="F15" s="118">
        <f ca="1">IF(I14&lt;0,0,年!X15)</f>
        <v>0</v>
      </c>
      <c r="G15" s="64" t="s">
        <v>239</v>
      </c>
      <c r="H15" s="118">
        <f ca="1">年!W15</f>
        <v>0</v>
      </c>
      <c r="I15" s="86">
        <f ca="1">I14-年!T15</f>
        <v>0</v>
      </c>
      <c r="J15" s="218">
        <f ca="1">J14+I15-I14</f>
        <v>31.801621265058145</v>
      </c>
      <c r="K15" s="218">
        <f ca="1">K14+J15-J14</f>
        <v>90.861775043023272</v>
      </c>
      <c r="L15" s="218"/>
    </row>
    <row r="16" spans="1:24" ht="15" customHeight="1" x14ac:dyDescent="0.2">
      <c r="A16" s="374"/>
      <c r="B16" s="375" t="s">
        <v>8</v>
      </c>
      <c r="C16" s="375"/>
      <c r="D16" s="68">
        <f>1-D14-D15</f>
        <v>0.5</v>
      </c>
      <c r="E16" s="1" t="s">
        <v>8</v>
      </c>
      <c r="F16" s="118">
        <f ca="1">_xlfn.FLOOR.MATH(月初!I15,1)</f>
        <v>0</v>
      </c>
      <c r="G16" s="145">
        <v>56.68</v>
      </c>
      <c r="I16" s="348"/>
      <c r="J16" s="64"/>
      <c r="K16" s="64"/>
      <c r="L16" s="64"/>
      <c r="R16" s="349"/>
      <c r="W16" s="11"/>
    </row>
    <row r="17" spans="1:22" ht="2.25" customHeight="1" thickBot="1" x14ac:dyDescent="0.25">
      <c r="B17" s="129"/>
      <c r="D17" s="68"/>
      <c r="E17" s="68"/>
      <c r="H17" s="170"/>
      <c r="I17" s="32"/>
      <c r="J17" s="32"/>
      <c r="K17" s="345"/>
    </row>
    <row r="18" spans="1:22" ht="15" hidden="1" customHeight="1" thickBot="1" x14ac:dyDescent="0.25">
      <c r="A18" s="68"/>
      <c r="B18" s="201"/>
      <c r="G18" s="7"/>
      <c r="H18" s="64"/>
      <c r="I18" s="84"/>
      <c r="J18" s="68"/>
    </row>
    <row r="19" spans="1:22" ht="15" customHeight="1" x14ac:dyDescent="0.2">
      <c r="A19" s="363">
        <f ca="1">IF(B19&gt;0,B19,IF(F16+G16&lt;0,IF(MIN(I13,J13)&gt;0,0,F16+G16),F16+G16))</f>
        <v>56.68</v>
      </c>
      <c r="B19" s="364"/>
      <c r="C19" s="365" t="s">
        <v>276</v>
      </c>
      <c r="D19" s="364">
        <v>0</v>
      </c>
      <c r="E19" s="199" t="s">
        <v>327</v>
      </c>
      <c r="F19" s="75" t="s">
        <v>119</v>
      </c>
      <c r="G19" s="76" t="s">
        <v>106</v>
      </c>
      <c r="H19" s="74" t="str">
        <f>"sum:"&amp;ROUND((SUM(J20:J27)+SUM(O20:O25)),2)&amp;"r"</f>
        <v>sum:0r</v>
      </c>
      <c r="I19" s="75"/>
      <c r="J19" s="76"/>
      <c r="K19" s="170" t="s">
        <v>105</v>
      </c>
      <c r="L19" s="367">
        <f ca="1">IF(I23&gt;0,(I23)/(SUM(N20:N25)-COUNTIFS(N20:N25,1,O20:O25,"&lt;&gt;0",O20:O25,"&lt;&gt;")),I23/COUNTA(L20:L25))</f>
        <v>2.8173586386289395</v>
      </c>
      <c r="M19" s="261" t="s">
        <v>250</v>
      </c>
      <c r="N19" s="75"/>
      <c r="O19" s="76"/>
    </row>
    <row r="20" spans="1:22" ht="15" customHeight="1" x14ac:dyDescent="0.2">
      <c r="A20" s="384">
        <f>SUM(E20:E27)</f>
        <v>23369.599999999999</v>
      </c>
      <c r="B20" s="391" t="s">
        <v>133</v>
      </c>
      <c r="C20" s="392"/>
      <c r="D20" s="362" t="s">
        <v>256</v>
      </c>
      <c r="E20" s="165">
        <f>2592.22+825.38</f>
        <v>3417.6</v>
      </c>
      <c r="F20" s="316">
        <f ca="1">SUM(E20,年!L12,年!M12*年!$P$13)/$A$20</f>
        <v>0.14624127071066687</v>
      </c>
      <c r="G20" s="313">
        <f>B23*70%</f>
        <v>0.23333333333333334</v>
      </c>
      <c r="H20" s="77" t="str">
        <f>now!J3</f>
        <v>美</v>
      </c>
      <c r="I20" s="371">
        <f ca="1">(IF($D$19=1,now!R3,+IF($A$19&lt;0,now!Q3,now!O3)))-J20</f>
        <v>19.536023663143435</v>
      </c>
      <c r="J20" s="132"/>
      <c r="K20" s="1">
        <v>4</v>
      </c>
      <c r="L20" s="77" t="s">
        <v>242</v>
      </c>
      <c r="M20" s="1" t="s">
        <v>241</v>
      </c>
      <c r="N20" s="1">
        <v>1</v>
      </c>
      <c r="O20" s="132"/>
    </row>
    <row r="21" spans="1:22" ht="15" customHeight="1" x14ac:dyDescent="0.2">
      <c r="A21" s="385"/>
      <c r="B21" s="391"/>
      <c r="C21" s="392"/>
      <c r="D21" s="358" t="s">
        <v>257</v>
      </c>
      <c r="E21" s="165">
        <v>459.16</v>
      </c>
      <c r="F21" s="316">
        <f ca="1">SUM(E21,年!L13,年!M13*年!$P$13)/$A$20</f>
        <v>1.9647747501026977E-2</v>
      </c>
      <c r="G21" s="313">
        <f>($B$23-$G$20)/3</f>
        <v>3.3333333333333347E-2</v>
      </c>
      <c r="H21" s="77" t="str">
        <f>now!J4</f>
        <v>欧</v>
      </c>
      <c r="I21" s="356">
        <f ca="1">IF($D$19=1,now!R4,+IF($A$19&lt;0,now!Q4,now!O4))-J21</f>
        <v>3.0680757678239146</v>
      </c>
      <c r="J21" s="132"/>
      <c r="K21" s="1">
        <v>10</v>
      </c>
      <c r="L21" s="77"/>
      <c r="O21" s="132"/>
    </row>
    <row r="22" spans="1:22" ht="15" customHeight="1" x14ac:dyDescent="0.2">
      <c r="A22" s="385"/>
      <c r="B22" s="391"/>
      <c r="C22" s="392"/>
      <c r="D22" s="358" t="s">
        <v>258</v>
      </c>
      <c r="E22" s="165">
        <v>503.78</v>
      </c>
      <c r="F22" s="316">
        <f ca="1">SUM(E22,年!L14,年!M14*年!$P$13)/$A$20</f>
        <v>2.1557065589483775E-2</v>
      </c>
      <c r="G22" s="313">
        <f>($B$23-$G$20)/3</f>
        <v>3.3333333333333347E-2</v>
      </c>
      <c r="H22" s="77" t="str">
        <f>now!J5</f>
        <v>亚</v>
      </c>
      <c r="I22" s="356">
        <f ca="1">IF($D$19=1,now!R5,+IF($A$19&lt;0,now!Q5,now!O5))-J22</f>
        <v>2.6425528197569772</v>
      </c>
      <c r="J22" s="132"/>
      <c r="K22" s="1">
        <v>4</v>
      </c>
      <c r="L22" s="77"/>
      <c r="O22" s="132"/>
    </row>
    <row r="23" spans="1:22" ht="15" customHeight="1" x14ac:dyDescent="0.2">
      <c r="A23" s="385"/>
      <c r="B23" s="366">
        <f>(1-B25)/2</f>
        <v>0.33333333333333337</v>
      </c>
      <c r="C23" s="359">
        <f ca="1">SUM(F20:F23)</f>
        <v>0.2082187970696974</v>
      </c>
      <c r="D23" s="358" t="s">
        <v>100</v>
      </c>
      <c r="E23" s="165">
        <v>485.45</v>
      </c>
      <c r="F23" s="316">
        <f ca="1">SUM(E23,年!L15,年!M15*年!$P$13)/$A$20</f>
        <v>2.0772713268519788E-2</v>
      </c>
      <c r="G23" s="313">
        <f>($B$23-$G$20)/3</f>
        <v>3.3333333333333347E-2</v>
      </c>
      <c r="H23" s="77" t="str">
        <f>now!J6</f>
        <v>A</v>
      </c>
      <c r="I23" s="356">
        <f ca="1">IF($D$19=1,now!R6,+IF($A$19&lt;0,now!Q6,now!O6))-SUM(O20:O25)</f>
        <v>2.8173586386289395</v>
      </c>
      <c r="J23" s="119"/>
      <c r="K23" s="1">
        <v>3</v>
      </c>
      <c r="L23" s="77"/>
      <c r="O23" s="132"/>
    </row>
    <row r="24" spans="1:22" ht="15" customHeight="1" x14ac:dyDescent="0.2">
      <c r="A24" s="385"/>
      <c r="B24" s="389" t="s">
        <v>54</v>
      </c>
      <c r="C24" s="390"/>
      <c r="D24" s="358" t="s">
        <v>113</v>
      </c>
      <c r="E24" s="165">
        <v>11314.13</v>
      </c>
      <c r="F24" s="316">
        <f ca="1">SUM(E24,年!L16,年!M16*年!$P$13)/$A$20</f>
        <v>0.48413879570039708</v>
      </c>
      <c r="G24" s="313">
        <f>B25-G25</f>
        <v>0.23333333333333334</v>
      </c>
      <c r="H24" s="77" t="str">
        <f>now!J7</f>
        <v>长债</v>
      </c>
      <c r="I24" s="356">
        <f ca="1">IF($D$19=1,now!R7,+IF($A$19&lt;0,now!Q7,now!O7))-J24</f>
        <v>0</v>
      </c>
      <c r="J24" s="132"/>
      <c r="K24" s="1">
        <v>2</v>
      </c>
      <c r="L24" s="77"/>
      <c r="O24" s="132"/>
    </row>
    <row r="25" spans="1:22" ht="15" customHeight="1" thickBot="1" x14ac:dyDescent="0.25">
      <c r="A25" s="385"/>
      <c r="B25" s="366">
        <f>1/3</f>
        <v>0.33333333333333331</v>
      </c>
      <c r="C25" s="359">
        <f ca="1">SUM(F24:F25)</f>
        <v>0.58603912775571687</v>
      </c>
      <c r="D25" s="358" t="s">
        <v>269</v>
      </c>
      <c r="E25" s="165">
        <v>2381.37</v>
      </c>
      <c r="F25" s="316">
        <f ca="1">SUM(E25,年!L17,年!M17*年!$P$13)/$A$20</f>
        <v>0.10190033205531973</v>
      </c>
      <c r="G25" s="313">
        <f>B25*30%</f>
        <v>9.9999999999999992E-2</v>
      </c>
      <c r="H25" s="77" t="str">
        <f>now!J8</f>
        <v>美债</v>
      </c>
      <c r="I25" s="371">
        <f ca="1">(IF($D$19=1,now!R8,+IF($A$19&lt;0,now!Q8,now!O8)))-J25</f>
        <v>0</v>
      </c>
      <c r="J25" s="132"/>
      <c r="K25" s="1">
        <v>8</v>
      </c>
      <c r="L25" s="78"/>
      <c r="M25" s="129"/>
      <c r="N25" s="129"/>
      <c r="O25" s="262"/>
      <c r="R25" s="64"/>
      <c r="S25" s="64"/>
    </row>
    <row r="26" spans="1:22" ht="15" customHeight="1" x14ac:dyDescent="0.2">
      <c r="A26" s="385"/>
      <c r="B26" s="391" t="s">
        <v>134</v>
      </c>
      <c r="C26" s="392"/>
      <c r="D26" s="393" t="s">
        <v>122</v>
      </c>
      <c r="E26" s="395">
        <v>4808.1099999999997</v>
      </c>
      <c r="F26" s="387">
        <f>SUM(E26+年!L18)/$A$20</f>
        <v>0.20574207517458579</v>
      </c>
      <c r="G26" s="401">
        <f>B27</f>
        <v>0.33333333333333337</v>
      </c>
      <c r="H26" s="380" t="str">
        <f>now!J9</f>
        <v>黄金</v>
      </c>
      <c r="I26" s="378">
        <f ca="1">IF($D$19=1,now!R9,+IF($A$19&lt;0,now!Q9,now!O9))-J26</f>
        <v>28.61598911064673</v>
      </c>
      <c r="J26" s="403"/>
      <c r="K26" s="380">
        <v>2</v>
      </c>
      <c r="P26" s="374"/>
      <c r="Q26" s="397"/>
      <c r="R26"/>
      <c r="S26"/>
      <c r="T26"/>
    </row>
    <row r="27" spans="1:22" ht="15" customHeight="1" thickBot="1" x14ac:dyDescent="0.25">
      <c r="A27" s="386"/>
      <c r="B27" s="360">
        <f>B23</f>
        <v>0.33333333333333337</v>
      </c>
      <c r="C27" s="361">
        <f>SUM(F26:F27)</f>
        <v>0.20574207517458579</v>
      </c>
      <c r="D27" s="394"/>
      <c r="E27" s="396"/>
      <c r="F27" s="388"/>
      <c r="G27" s="402"/>
      <c r="H27" s="381"/>
      <c r="I27" s="379"/>
      <c r="J27" s="404"/>
      <c r="K27" s="380"/>
      <c r="P27" s="374"/>
      <c r="Q27" s="397"/>
      <c r="T27"/>
    </row>
    <row r="28" spans="1:22" ht="15" customHeight="1" x14ac:dyDescent="0.2">
      <c r="A28" s="311"/>
      <c r="E28" s="1" t="s">
        <v>277</v>
      </c>
      <c r="Q28" s="344"/>
      <c r="T28" s="68"/>
      <c r="U28"/>
    </row>
    <row r="29" spans="1:22" ht="15" customHeight="1" x14ac:dyDescent="0.2">
      <c r="A29" s="64"/>
      <c r="C29" s="312"/>
      <c r="D29" s="84"/>
    </row>
    <row r="31" spans="1:22" ht="15" customHeight="1" x14ac:dyDescent="0.2">
      <c r="K31"/>
      <c r="P31"/>
      <c r="Q31" s="343"/>
      <c r="R31"/>
      <c r="S31"/>
      <c r="T31"/>
      <c r="U31"/>
      <c r="V31"/>
    </row>
    <row r="32" spans="1:22" ht="15" customHeight="1" x14ac:dyDescent="0.2">
      <c r="K32"/>
      <c r="P32"/>
      <c r="Q32" s="343"/>
      <c r="R32"/>
      <c r="S32"/>
      <c r="T32"/>
      <c r="U32"/>
      <c r="V32"/>
    </row>
    <row r="33" spans="2:22" ht="15" customHeight="1" x14ac:dyDescent="0.2">
      <c r="K33"/>
      <c r="P33"/>
      <c r="Q33" s="343"/>
      <c r="R33"/>
      <c r="S33"/>
      <c r="T33"/>
      <c r="U33"/>
      <c r="V33"/>
    </row>
    <row r="34" spans="2:22" ht="15" customHeight="1" x14ac:dyDescent="0.2">
      <c r="F34" s="64"/>
      <c r="K34"/>
      <c r="P34"/>
      <c r="Q34" s="343"/>
      <c r="R34"/>
      <c r="S34"/>
      <c r="T34"/>
      <c r="U34"/>
      <c r="V34"/>
    </row>
    <row r="35" spans="2:22" ht="15" customHeight="1" x14ac:dyDescent="0.2">
      <c r="N35"/>
      <c r="O35"/>
      <c r="P35"/>
      <c r="Q35" s="343"/>
      <c r="R35"/>
      <c r="S35"/>
      <c r="T35"/>
      <c r="U35"/>
      <c r="V35"/>
    </row>
    <row r="36" spans="2:22" ht="15" customHeight="1" x14ac:dyDescent="0.2">
      <c r="B36" s="64"/>
      <c r="N36"/>
      <c r="O36"/>
      <c r="P36"/>
      <c r="Q36" s="343"/>
      <c r="R36"/>
      <c r="S36"/>
      <c r="T36"/>
      <c r="U36"/>
      <c r="V36"/>
    </row>
    <row r="37" spans="2:22" ht="15" customHeight="1" x14ac:dyDescent="0.2">
      <c r="N37"/>
      <c r="O37"/>
      <c r="P37"/>
      <c r="Q37" s="343"/>
      <c r="R37"/>
      <c r="S37"/>
      <c r="T37"/>
      <c r="U37"/>
      <c r="V37"/>
    </row>
    <row r="38" spans="2:22" ht="15" customHeight="1" x14ac:dyDescent="0.2">
      <c r="N38"/>
      <c r="O38"/>
      <c r="P38"/>
      <c r="Q38" s="343"/>
      <c r="R38"/>
      <c r="S38"/>
      <c r="T38"/>
      <c r="U38"/>
      <c r="V38"/>
    </row>
    <row r="39" spans="2:22" ht="15" customHeight="1" x14ac:dyDescent="0.2">
      <c r="N39"/>
      <c r="O39"/>
      <c r="P39"/>
      <c r="Q39" s="343"/>
      <c r="R39"/>
      <c r="S39"/>
      <c r="T39"/>
      <c r="U39"/>
      <c r="V39"/>
    </row>
    <row r="40" spans="2:22" ht="15" customHeight="1" x14ac:dyDescent="0.2">
      <c r="N40"/>
      <c r="O40" s="377"/>
      <c r="P40" s="377"/>
      <c r="Q40" s="343"/>
      <c r="R40"/>
      <c r="S40"/>
      <c r="T40"/>
      <c r="U40"/>
      <c r="V40"/>
    </row>
    <row r="41" spans="2:22" ht="15" customHeight="1" x14ac:dyDescent="0.2">
      <c r="N41"/>
      <c r="O41" s="377"/>
      <c r="P41" s="377"/>
      <c r="Q41" s="343"/>
      <c r="R41"/>
      <c r="S41"/>
      <c r="T41"/>
      <c r="U41"/>
      <c r="V41"/>
    </row>
    <row r="67" spans="1:8" ht="15" customHeight="1" x14ac:dyDescent="0.2">
      <c r="F67" s="88"/>
    </row>
    <row r="68" spans="1:8" ht="15" customHeight="1" x14ac:dyDescent="0.2">
      <c r="E68" s="89"/>
      <c r="H68" s="84"/>
    </row>
    <row r="69" spans="1:8" ht="15" customHeight="1" x14ac:dyDescent="0.2">
      <c r="A69" s="2"/>
    </row>
    <row r="70" spans="1:8" ht="15" customHeight="1" x14ac:dyDescent="0.2">
      <c r="D70" s="89"/>
    </row>
  </sheetData>
  <mergeCells count="27">
    <mergeCell ref="E26:E27"/>
    <mergeCell ref="Q26:Q27"/>
    <mergeCell ref="C3:D3"/>
    <mergeCell ref="B12:D12"/>
    <mergeCell ref="B10:D10"/>
    <mergeCell ref="B11:D11"/>
    <mergeCell ref="B16:C16"/>
    <mergeCell ref="G26:G27"/>
    <mergeCell ref="G12:G13"/>
    <mergeCell ref="J26:J27"/>
    <mergeCell ref="B20:C22"/>
    <mergeCell ref="A14:A16"/>
    <mergeCell ref="A10:A13"/>
    <mergeCell ref="O41:P41"/>
    <mergeCell ref="O40:P40"/>
    <mergeCell ref="I26:I27"/>
    <mergeCell ref="H26:H27"/>
    <mergeCell ref="B15:C15"/>
    <mergeCell ref="B14:C14"/>
    <mergeCell ref="B13:D13"/>
    <mergeCell ref="A20:A27"/>
    <mergeCell ref="F26:F27"/>
    <mergeCell ref="K26:K27"/>
    <mergeCell ref="P26:P27"/>
    <mergeCell ref="B24:C24"/>
    <mergeCell ref="B26:C26"/>
    <mergeCell ref="D26:D27"/>
  </mergeCells>
  <phoneticPr fontId="4" type="noConversion"/>
  <conditionalFormatting sqref="A20">
    <cfRule type="containsText" dxfId="84" priority="97" operator="containsText" text="zfb">
      <formula>NOT(ISERROR(SEARCH("zfb",A20)))</formula>
    </cfRule>
  </conditionalFormatting>
  <conditionalFormatting sqref="B14:C15 F10:F16 G14 H15">
    <cfRule type="cellIs" dxfId="83" priority="25" operator="between">
      <formula>-0.5</formula>
      <formula>0.5</formula>
    </cfRule>
  </conditionalFormatting>
  <conditionalFormatting sqref="B17:C17 B18">
    <cfRule type="cellIs" dxfId="82" priority="101" operator="lessThan">
      <formula>0.5</formula>
    </cfRule>
  </conditionalFormatting>
  <conditionalFormatting sqref="E10:E16">
    <cfRule type="containsText" dxfId="81" priority="29" operator="containsText" text="债">
      <formula>NOT(ISERROR(SEARCH("债",E10)))</formula>
    </cfRule>
    <cfRule type="containsText" dxfId="80" priority="30" operator="containsText" text="理财">
      <formula>NOT(ISERROR(SEARCH("理财",E10)))</formula>
    </cfRule>
  </conditionalFormatting>
  <conditionalFormatting sqref="F9">
    <cfRule type="cellIs" dxfId="79" priority="70" operator="greaterThan">
      <formula>0</formula>
    </cfRule>
  </conditionalFormatting>
  <conditionalFormatting sqref="F10">
    <cfRule type="expression" dxfId="78" priority="156">
      <formula>I10=I8</formula>
    </cfRule>
  </conditionalFormatting>
  <conditionalFormatting sqref="F12">
    <cfRule type="expression" dxfId="77" priority="75">
      <formula>I12=I11</formula>
    </cfRule>
  </conditionalFormatting>
  <conditionalFormatting sqref="F16">
    <cfRule type="expression" dxfId="76" priority="9">
      <formula>I16=I15</formula>
    </cfRule>
  </conditionalFormatting>
  <conditionalFormatting sqref="F20:F26">
    <cfRule type="cellIs" dxfId="75" priority="61" operator="greaterThan">
      <formula>G20</formula>
    </cfRule>
    <cfRule type="cellIs" dxfId="74" priority="62" operator="lessThan">
      <formula>G20</formula>
    </cfRule>
  </conditionalFormatting>
  <conditionalFormatting sqref="H14">
    <cfRule type="cellIs" dxfId="73" priority="7" operator="between">
      <formula>-0.5</formula>
      <formula>0.5</formula>
    </cfRule>
  </conditionalFormatting>
  <conditionalFormatting sqref="I10:I11">
    <cfRule type="expression" dxfId="72" priority="533">
      <formula>I10&lt;#REF!</formula>
    </cfRule>
  </conditionalFormatting>
  <conditionalFormatting sqref="I12 I14:I16">
    <cfRule type="expression" dxfId="71" priority="85">
      <formula>I12&lt;I11</formula>
    </cfRule>
  </conditionalFormatting>
  <conditionalFormatting sqref="I13:L13">
    <cfRule type="cellIs" dxfId="70" priority="49" operator="lessThan">
      <formula>0</formula>
    </cfRule>
  </conditionalFormatting>
  <conditionalFormatting sqref="J11 L11:L12 L14">
    <cfRule type="expression" dxfId="69" priority="536">
      <formula>AND(I11=#REF!,J11&lt;#REF!)</formula>
    </cfRule>
  </conditionalFormatting>
  <conditionalFormatting sqref="I20:I26">
    <cfRule type="cellIs" dxfId="68" priority="39" operator="lessThan">
      <formula>0.5</formula>
    </cfRule>
  </conditionalFormatting>
  <conditionalFormatting sqref="J10:L10 L15 J12:K12">
    <cfRule type="expression" dxfId="67" priority="81">
      <formula>AND(I10=I9,J10&lt;J9)</formula>
    </cfRule>
  </conditionalFormatting>
  <conditionalFormatting sqref="L19">
    <cfRule type="cellIs" dxfId="66" priority="8" operator="lessThan">
      <formula>1</formula>
    </cfRule>
  </conditionalFormatting>
  <conditionalFormatting sqref="M20:M21">
    <cfRule type="cellIs" dxfId="65" priority="60" operator="lessThan">
      <formula>10</formula>
    </cfRule>
  </conditionalFormatting>
  <conditionalFormatting sqref="T31:T38">
    <cfRule type="cellIs" dxfId="64" priority="83" operator="greaterThan">
      <formula>0</formula>
    </cfRule>
  </conditionalFormatting>
  <conditionalFormatting sqref="F13">
    <cfRule type="expression" dxfId="63" priority="621">
      <formula>I13=#REF!</formula>
    </cfRule>
  </conditionalFormatting>
  <conditionalFormatting sqref="F13">
    <cfRule type="expression" dxfId="62" priority="622">
      <formula>I13=I12</formula>
    </cfRule>
    <cfRule type="expression" dxfId="61" priority="623">
      <formula>#REF!=$I$13</formula>
    </cfRule>
  </conditionalFormatting>
  <conditionalFormatting sqref="I13">
    <cfRule type="expression" dxfId="60" priority="625">
      <formula>I13&lt;#REF!</formula>
    </cfRule>
  </conditionalFormatting>
  <conditionalFormatting sqref="J13:L13">
    <cfRule type="expression" dxfId="59" priority="627">
      <formula>AND(I13=#REF!,J13&lt;#REF!)</formula>
    </cfRule>
  </conditionalFormatting>
  <hyperlinks>
    <hyperlink ref="M19" r:id="rId1" display="https://danjuanfunds.com/djmodule/value-center?channel=1300100141" xr:uid="{4B25AB90-8DF4-4C3D-87CD-FDBFD8CC845B}"/>
  </hyperlinks>
  <pageMargins left="0.7" right="0.7" top="0.75" bottom="0.75" header="0.3" footer="0.3"/>
  <pageSetup paperSize="9" orientation="portrait" horizontalDpi="1200" verticalDpi="120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0" id="{00000000-000E-0000-0000-0000F8010000}">
            <xm:f>#REF!=now!#REF!</xm:f>
            <x14:dxf>
              <fill>
                <patternFill patternType="none">
                  <bgColor auto="1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expression" priority="602" id="{00000000-000E-0000-0000-00003B000000}">
            <xm:f>AND(#REF!=now!#REF!,I17&lt;now!#REF!)</xm:f>
            <x14:dxf>
              <font>
                <color rgb="FFFF0000"/>
              </font>
            </x14:dxf>
          </x14:cfRule>
          <xm:sqref>I17:J17</xm:sqref>
        </x14:conditionalFormatting>
        <x14:conditionalFormatting xmlns:xm="http://schemas.microsoft.com/office/excel/2006/main">
          <x14:cfRule type="expression" priority="603" id="{00000000-000E-0000-0000-00002E000000}">
            <xm:f>AND(J17=now!#REF!,K17&lt;now!#REF!)</xm:f>
            <x14:dxf>
              <font>
                <color rgb="FFFF0000"/>
              </font>
            </x14:dxf>
          </x14:cfRule>
          <xm:sqref>K17</xm:sqref>
        </x14:conditionalFormatting>
        <x14:conditionalFormatting xmlns:xm="http://schemas.microsoft.com/office/excel/2006/main">
          <x14:cfRule type="expression" priority="640" id="{00000000-000E-0000-0000-00000C000000}">
            <xm:f>AND(年!R1=#REF!,J14&lt;#REF!)</xm:f>
            <x14:dxf>
              <font>
                <color rgb="FFFF0000"/>
              </font>
            </x14:dxf>
          </x14:cfRule>
          <xm:sqref>J14:K14</xm:sqref>
        </x14:conditionalFormatting>
        <x14:conditionalFormatting xmlns:xm="http://schemas.microsoft.com/office/excel/2006/main">
          <x14:cfRule type="expression" priority="718" id="{00000000-000E-0000-0000-000009000000}">
            <xm:f>AND(年!T14=年!T13,J15&lt;J14)</xm:f>
            <x14:dxf>
              <font>
                <color rgb="FFFF0000"/>
              </font>
            </x14:dxf>
          </x14:cfRule>
          <xm:sqref>J15:K15</xm:sqref>
        </x14:conditionalFormatting>
        <x14:conditionalFormatting xmlns:xm="http://schemas.microsoft.com/office/excel/2006/main">
          <x14:cfRule type="cellIs" priority="5" operator="lessThan" id="{C7D83E4F-3443-4C80-86A0-AA5A882C9E0D}">
            <xm:f>年!$S$22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6" operator="greaterThan" id="{15ED13C2-3330-419A-99A7-C21CC73DE2E0}">
            <xm:f>年!$S$21</xm:f>
            <x14:dxf>
              <fill>
                <patternFill>
                  <bgColor theme="5" tint="0.79998168889431442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cellIs" priority="3" operator="lessThan" id="{3C941F9F-6322-487C-B377-C6E0A9A5C5B7}">
            <xm:f>年!$S$22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4" operator="greaterThan" id="{AD17AD83-66AB-4852-BF1E-6128BDE51DD5}">
            <xm:f>年!$S$21</xm:f>
            <x14:dxf>
              <fill>
                <patternFill>
                  <bgColor theme="5" tint="0.7999816888943144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ellIs" priority="1" operator="lessThan" id="{00FC2088-530F-42A1-A5DD-771523B0A06E}">
            <xm:f>年!$S$22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" operator="greaterThan" id="{726F761B-7E8D-416D-AA8E-F1EB8AC8FB32}">
            <xm:f>年!$S$21</xm:f>
            <x14:dxf>
              <fill>
                <patternFill>
                  <bgColor theme="5" tint="0.79998168889431442"/>
                </patternFill>
              </fill>
            </x14:dxf>
          </x14:cfRule>
          <xm:sqref>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FAE9-A153-41EB-94BD-072044693328}">
  <sheetPr codeName="Sheet3"/>
  <dimension ref="J1:AS117"/>
  <sheetViews>
    <sheetView tabSelected="1" topLeftCell="J19" zoomScale="115" zoomScaleNormal="115" workbookViewId="0">
      <selection activeCell="M36" sqref="M36"/>
    </sheetView>
  </sheetViews>
  <sheetFormatPr defaultRowHeight="14.25" x14ac:dyDescent="0.2"/>
  <cols>
    <col min="1" max="9" width="0" hidden="1" customWidth="1"/>
    <col min="10" max="10" width="13.375" customWidth="1"/>
    <col min="11" max="11" width="10.5" customWidth="1"/>
    <col min="13" max="13" width="10.375" customWidth="1"/>
    <col min="14" max="14" width="10" bestFit="1" customWidth="1"/>
    <col min="15" max="15" width="11.125" bestFit="1" customWidth="1"/>
    <col min="16" max="16" width="14.25" customWidth="1"/>
    <col min="18" max="18" width="11" customWidth="1"/>
    <col min="19" max="19" width="10.375" hidden="1" customWidth="1"/>
    <col min="20" max="20" width="9.75" hidden="1" customWidth="1"/>
    <col min="21" max="22" width="0" hidden="1" customWidth="1"/>
    <col min="23" max="23" width="10" style="1" customWidth="1"/>
    <col min="24" max="24" width="12.375" style="1" customWidth="1"/>
    <col min="25" max="28" width="9.75" style="1"/>
    <col min="29" max="29" width="1.375" style="1" customWidth="1"/>
    <col min="30" max="30" width="2.125" style="1" hidden="1" customWidth="1"/>
    <col min="31" max="31" width="10.375" style="1" hidden="1" customWidth="1"/>
    <col min="32" max="32" width="10.75" style="1" hidden="1" customWidth="1"/>
    <col min="33" max="33" width="7.75" style="1" hidden="1" customWidth="1"/>
    <col min="34" max="34" width="6.25" style="1" hidden="1" customWidth="1"/>
    <col min="35" max="35" width="9.75" style="1"/>
    <col min="36" max="36" width="9.375" style="152" customWidth="1"/>
    <col min="37" max="37" width="6.25" style="1" hidden="1" customWidth="1"/>
    <col min="38" max="38" width="4.5" style="1" hidden="1" customWidth="1"/>
    <col min="39" max="39" width="7.375" style="152" customWidth="1"/>
    <col min="40" max="40" width="11.125" style="152" customWidth="1"/>
    <col min="46" max="46" width="13.375" customWidth="1"/>
    <col min="47" max="47" width="9" bestFit="1" customWidth="1"/>
  </cols>
  <sheetData>
    <row r="1" spans="10:40" ht="15" thickBot="1" x14ac:dyDescent="0.25">
      <c r="J1" t="s">
        <v>126</v>
      </c>
      <c r="K1" s="104">
        <f ca="1">(月初!A19)</f>
        <v>56.68</v>
      </c>
      <c r="L1" t="s">
        <v>128</v>
      </c>
      <c r="M1" s="104">
        <f>月初!A20</f>
        <v>23369.599999999999</v>
      </c>
      <c r="N1" t="s">
        <v>129</v>
      </c>
      <c r="O1" s="104">
        <f ca="1">M1+K1</f>
        <v>23426.28</v>
      </c>
      <c r="AJ1" s="1"/>
      <c r="AM1" s="1"/>
      <c r="AN1" s="1"/>
    </row>
    <row r="2" spans="10:40" x14ac:dyDescent="0.2">
      <c r="J2" s="74" t="s">
        <v>127</v>
      </c>
      <c r="K2" s="75" t="s">
        <v>106</v>
      </c>
      <c r="L2" s="75" t="s">
        <v>141</v>
      </c>
      <c r="M2" s="75" t="s">
        <v>142</v>
      </c>
      <c r="N2" s="321" t="s">
        <v>214</v>
      </c>
      <c r="O2" s="321" t="s">
        <v>215</v>
      </c>
      <c r="P2" s="322" t="s">
        <v>216</v>
      </c>
      <c r="Q2" s="323" t="s">
        <v>217</v>
      </c>
      <c r="R2" s="1" t="s">
        <v>289</v>
      </c>
      <c r="S2" s="64"/>
      <c r="T2" s="1"/>
      <c r="U2" s="1"/>
      <c r="V2" s="1"/>
      <c r="AJ2" s="1"/>
      <c r="AM2" s="1"/>
      <c r="AN2" s="1"/>
    </row>
    <row r="3" spans="10:40" x14ac:dyDescent="0.2">
      <c r="J3" s="77" t="str">
        <f>月初!D20</f>
        <v>美</v>
      </c>
      <c r="K3" s="68">
        <f>月初!G20</f>
        <v>0.23333333333333334</v>
      </c>
      <c r="L3" s="64">
        <f t="shared" ref="L3:L9" ca="1" si="0">$O$1*K3</f>
        <v>5466.1319999999996</v>
      </c>
      <c r="M3" s="64">
        <f>月初!E20+年!L12</f>
        <v>3417.6</v>
      </c>
      <c r="N3" s="300">
        <f t="shared" ref="N3:N9" ca="1" si="1">MAX(L3-M3,0)</f>
        <v>2048.5319999999997</v>
      </c>
      <c r="O3" s="300">
        <f t="shared" ref="O3:O9" ca="1" si="2">$K$1*N3/SUM($N$3:$N$9)</f>
        <v>19.536023663143435</v>
      </c>
      <c r="P3" s="324">
        <f t="shared" ref="P3:P9" ca="1" si="3">MIN(L3-M3,0)</f>
        <v>0</v>
      </c>
      <c r="Q3" s="325">
        <f t="shared" ref="Q3:Q9" ca="1" si="4">$K$1*P3/SUM($P$3:$P$9)</f>
        <v>0</v>
      </c>
      <c r="R3" s="64">
        <f t="shared" ref="R3:R9" ca="1" si="5">L3-M3</f>
        <v>2048.5319999999997</v>
      </c>
      <c r="S3" s="64"/>
      <c r="T3" s="1"/>
      <c r="U3" s="73"/>
      <c r="V3" s="64"/>
      <c r="AJ3" s="1"/>
      <c r="AM3" s="1"/>
      <c r="AN3" s="1"/>
    </row>
    <row r="4" spans="10:40" x14ac:dyDescent="0.2">
      <c r="J4" s="77" t="str">
        <f>月初!D21</f>
        <v>欧</v>
      </c>
      <c r="K4" s="68">
        <f>月初!G21</f>
        <v>3.3333333333333347E-2</v>
      </c>
      <c r="L4" s="64">
        <f t="shared" ca="1" si="0"/>
        <v>780.87600000000032</v>
      </c>
      <c r="M4" s="64">
        <f>月初!E21+年!L13</f>
        <v>459.16</v>
      </c>
      <c r="N4" s="300">
        <f t="shared" ca="1" si="1"/>
        <v>321.71600000000029</v>
      </c>
      <c r="O4" s="300">
        <f t="shared" ca="1" si="2"/>
        <v>3.0680757678239146</v>
      </c>
      <c r="P4" s="324">
        <f t="shared" ca="1" si="3"/>
        <v>0</v>
      </c>
      <c r="Q4" s="325">
        <f t="shared" ca="1" si="4"/>
        <v>0</v>
      </c>
      <c r="R4" s="64">
        <f t="shared" ca="1" si="5"/>
        <v>321.71600000000029</v>
      </c>
      <c r="S4" s="64"/>
      <c r="T4" s="1"/>
      <c r="U4" s="73"/>
      <c r="V4" s="64"/>
      <c r="AJ4" s="1"/>
      <c r="AM4" s="1"/>
      <c r="AN4" s="1"/>
    </row>
    <row r="5" spans="10:40" x14ac:dyDescent="0.2">
      <c r="J5" s="77" t="str">
        <f>月初!D22</f>
        <v>亚</v>
      </c>
      <c r="K5" s="68">
        <f>月初!G22</f>
        <v>3.3333333333333347E-2</v>
      </c>
      <c r="L5" s="64">
        <f t="shared" ca="1" si="0"/>
        <v>780.87600000000032</v>
      </c>
      <c r="M5" s="64">
        <f>月初!E22+年!L14</f>
        <v>503.78</v>
      </c>
      <c r="N5" s="300">
        <f t="shared" ca="1" si="1"/>
        <v>277.09600000000034</v>
      </c>
      <c r="O5" s="300">
        <f t="shared" ca="1" si="2"/>
        <v>2.6425528197569772</v>
      </c>
      <c r="P5" s="324">
        <f t="shared" ca="1" si="3"/>
        <v>0</v>
      </c>
      <c r="Q5" s="325">
        <f t="shared" ca="1" si="4"/>
        <v>0</v>
      </c>
      <c r="R5" s="64">
        <f t="shared" ca="1" si="5"/>
        <v>277.09600000000034</v>
      </c>
      <c r="S5" s="64"/>
      <c r="T5" s="1"/>
      <c r="U5" s="73"/>
      <c r="V5" s="64"/>
      <c r="AJ5" s="1"/>
      <c r="AM5" s="1"/>
      <c r="AN5" s="1"/>
    </row>
    <row r="6" spans="10:40" x14ac:dyDescent="0.2">
      <c r="J6" s="77" t="str">
        <f>月初!D23</f>
        <v>A</v>
      </c>
      <c r="K6" s="68">
        <f>月初!G23</f>
        <v>3.3333333333333347E-2</v>
      </c>
      <c r="L6" s="64">
        <f t="shared" ca="1" si="0"/>
        <v>780.87600000000032</v>
      </c>
      <c r="M6" s="64">
        <f>月初!E23+年!L15</f>
        <v>485.45</v>
      </c>
      <c r="N6" s="300">
        <f t="shared" ca="1" si="1"/>
        <v>295.42600000000033</v>
      </c>
      <c r="O6" s="300">
        <f t="shared" ca="1" si="2"/>
        <v>2.8173586386289395</v>
      </c>
      <c r="P6" s="324">
        <f t="shared" ca="1" si="3"/>
        <v>0</v>
      </c>
      <c r="Q6" s="325">
        <f t="shared" ca="1" si="4"/>
        <v>0</v>
      </c>
      <c r="R6" s="64">
        <f t="shared" ca="1" si="5"/>
        <v>295.42600000000033</v>
      </c>
      <c r="S6" s="64"/>
      <c r="T6" s="1"/>
      <c r="U6" s="73"/>
      <c r="V6" s="64"/>
      <c r="AJ6" s="1"/>
      <c r="AM6" s="1"/>
      <c r="AN6" s="1"/>
    </row>
    <row r="7" spans="10:40" x14ac:dyDescent="0.2">
      <c r="J7" s="77" t="str">
        <f>月初!D24</f>
        <v>长债</v>
      </c>
      <c r="K7" s="68">
        <f>月初!G24</f>
        <v>0.23333333333333334</v>
      </c>
      <c r="L7" s="64">
        <f t="shared" ca="1" si="0"/>
        <v>5466.1319999999996</v>
      </c>
      <c r="M7" s="64">
        <f>月初!E24+年!L16</f>
        <v>11314.13</v>
      </c>
      <c r="N7" s="300">
        <f t="shared" ca="1" si="1"/>
        <v>0</v>
      </c>
      <c r="O7" s="300">
        <f t="shared" ca="1" si="2"/>
        <v>0</v>
      </c>
      <c r="P7" s="324">
        <f t="shared" ca="1" si="3"/>
        <v>-5847.9979999999996</v>
      </c>
      <c r="Q7" s="325">
        <f t="shared" ca="1" si="4"/>
        <v>56.306975786258612</v>
      </c>
      <c r="R7" s="64">
        <f t="shared" ca="1" si="5"/>
        <v>-5847.9979999999996</v>
      </c>
      <c r="S7" s="64"/>
      <c r="T7" s="1"/>
      <c r="U7" s="73"/>
      <c r="V7" s="64"/>
      <c r="AJ7" s="1"/>
      <c r="AM7" s="1"/>
      <c r="AN7" s="1"/>
    </row>
    <row r="8" spans="10:40" x14ac:dyDescent="0.2">
      <c r="J8" s="77" t="str">
        <f>月初!D25</f>
        <v>美债</v>
      </c>
      <c r="K8" s="68">
        <f>月初!G25</f>
        <v>9.9999999999999992E-2</v>
      </c>
      <c r="L8" s="64">
        <f t="shared" ca="1" si="0"/>
        <v>2342.6279999999997</v>
      </c>
      <c r="M8" s="64">
        <f>月初!E25+年!L17</f>
        <v>2381.37</v>
      </c>
      <c r="N8" s="300">
        <f t="shared" ca="1" si="1"/>
        <v>0</v>
      </c>
      <c r="O8" s="300">
        <f t="shared" ca="1" si="2"/>
        <v>0</v>
      </c>
      <c r="P8" s="324">
        <f t="shared" ca="1" si="3"/>
        <v>-38.742000000000189</v>
      </c>
      <c r="Q8" s="325">
        <f t="shared" ca="1" si="4"/>
        <v>0.3730242137413935</v>
      </c>
      <c r="R8" s="64">
        <f t="shared" ca="1" si="5"/>
        <v>-38.742000000000189</v>
      </c>
      <c r="S8" s="64"/>
      <c r="T8" s="1"/>
      <c r="U8" s="73"/>
      <c r="V8" s="64"/>
      <c r="AJ8" s="1"/>
      <c r="AM8" s="1"/>
      <c r="AN8" s="1"/>
    </row>
    <row r="9" spans="10:40" ht="15" thickBot="1" x14ac:dyDescent="0.25">
      <c r="J9" s="78" t="str">
        <f>月初!D26</f>
        <v>黄金</v>
      </c>
      <c r="K9" s="326">
        <f>月初!G26</f>
        <v>0.33333333333333337</v>
      </c>
      <c r="L9" s="163">
        <f t="shared" ca="1" si="0"/>
        <v>7808.76</v>
      </c>
      <c r="M9" s="163">
        <f>月初!E26+年!L18</f>
        <v>4808.1099999999997</v>
      </c>
      <c r="N9" s="327">
        <f t="shared" ca="1" si="1"/>
        <v>3000.6500000000005</v>
      </c>
      <c r="O9" s="327">
        <f t="shared" ca="1" si="2"/>
        <v>28.61598911064673</v>
      </c>
      <c r="P9" s="328">
        <f t="shared" ca="1" si="3"/>
        <v>0</v>
      </c>
      <c r="Q9" s="329">
        <f t="shared" ca="1" si="4"/>
        <v>0</v>
      </c>
      <c r="R9" s="64">
        <f t="shared" ca="1" si="5"/>
        <v>3000.6500000000005</v>
      </c>
      <c r="S9" s="64"/>
      <c r="T9" s="1"/>
      <c r="U9" s="73"/>
      <c r="V9" s="64"/>
      <c r="AJ9" s="1"/>
      <c r="AM9" s="1"/>
      <c r="AN9" s="1"/>
    </row>
    <row r="10" spans="10:40" ht="15" thickBot="1" x14ac:dyDescent="0.25">
      <c r="AJ10" s="1"/>
      <c r="AM10" s="1"/>
      <c r="AN10" s="1"/>
    </row>
    <row r="11" spans="10:40" x14ac:dyDescent="0.2">
      <c r="J11" s="74" t="s">
        <v>227</v>
      </c>
      <c r="K11" s="130"/>
      <c r="L11" s="131"/>
      <c r="M11" s="131"/>
      <c r="N11" s="74" t="s">
        <v>229</v>
      </c>
      <c r="O11" s="130"/>
      <c r="P11" s="131"/>
      <c r="Q11" s="238"/>
      <c r="R11" s="104"/>
      <c r="AJ11" s="1"/>
      <c r="AM11" s="1"/>
      <c r="AN11" s="1"/>
    </row>
    <row r="12" spans="10:40" x14ac:dyDescent="0.2">
      <c r="J12" s="77" t="s">
        <v>228</v>
      </c>
      <c r="K12" s="258"/>
      <c r="L12" s="152"/>
      <c r="M12" s="152"/>
      <c r="N12" s="77" t="s">
        <v>230</v>
      </c>
      <c r="O12" s="258"/>
      <c r="P12" s="152"/>
      <c r="Q12" s="132"/>
      <c r="R12" s="104"/>
      <c r="AJ12" s="1"/>
      <c r="AM12" s="1"/>
      <c r="AN12" s="1"/>
    </row>
    <row r="13" spans="10:40" ht="15" thickBot="1" x14ac:dyDescent="0.25">
      <c r="J13" s="78"/>
      <c r="K13" s="129" t="b">
        <f ca="1">IF(COUNTA(K11)&gt;0,
                  IF(AND(DAY(TODAY())&gt;=K11,DAY(TODAY())&lt;=K12),
                                                              IF(COUNTA(K12)&gt;0,K12,DAY(TODAY()))   -DAY(TODAY())+1,
                                                              IF(DAY(TODAY())&gt;K12,0,K12-K11)))</f>
        <v>0</v>
      </c>
      <c r="L13" s="129" t="b">
        <f ca="1">IF(COUNTA(L11)&gt;0,
                  IF(AND(DAY(TODAY())&gt;=L11,DAY(TODAY())&lt;=L12),
                                                              IF(COUNTA(L12)&gt;0,L12,DAY(TODAY()))   -DAY(TODAY())+1,
                                                              IF(DAY(TODAY())&gt;L12,0,L12-L11)))</f>
        <v>0</v>
      </c>
      <c r="M13" s="129" t="b">
        <f ca="1">IF(COUNTA(M11)&gt;0,
                  IF(AND(DAY(TODAY())&gt;=M11,DAY(TODAY())&lt;=M12),
                                                              IF(COUNTA(M12)&gt;0,M12,DAY(TODAY()))   -DAY(TODAY())+1,
                                                              IF(DAY(TODAY())&gt;M12,0,M12-M11)))</f>
        <v>0</v>
      </c>
      <c r="N13" s="78"/>
      <c r="O13" s="129">
        <f ca="1">IF(COUNTA(O11)&gt;0,
                  IF(AND(DAY(TODAY())&gt;=O11,DAY(TODAY())&lt;=O12),
                                                              IF(COUNTA(O12)&gt;0,O12,DAY(TODAY()))   -DAY(TODAY()),
                                                              IF(DAY(TODAY())&gt;O12,0,O12-O11)),0)</f>
        <v>0</v>
      </c>
      <c r="P13" s="129">
        <f ca="1">IF(COUNTA(P11)&gt;0,
                  IF(AND(DAY(TODAY())&gt;=P11,DAY(TODAY())&lt;=P12),
                                                              IF(COUNTA(P12)&gt;0,P12,DAY(TODAY()))   -DAY(TODAY()),
                                                              IF(DAY(TODAY())&gt;P12,0,P12-P11)),0)</f>
        <v>0</v>
      </c>
      <c r="Q13" s="128">
        <f ca="1">IF(COUNTA(Q11)&gt;0,
                  IF(AND(DAY(TODAY())&gt;=Q11,DAY(TODAY())&lt;=Q12),
                                                              IF(COUNTA(Q12)&gt;0,Q12,DAY(TODAY()))   -DAY(TODAY()),
                                                              IF(DAY(TODAY())&gt;Q12,0,Q12-Q11)),0)</f>
        <v>0</v>
      </c>
      <c r="R13" s="104"/>
      <c r="AJ13" s="1"/>
      <c r="AM13" s="1"/>
      <c r="AN13" s="1"/>
    </row>
    <row r="14" spans="10:40" ht="15" thickBot="1" x14ac:dyDescent="0.25">
      <c r="S14" s="127"/>
      <c r="AJ14" s="1"/>
      <c r="AM14" s="1"/>
      <c r="AN14" s="1"/>
    </row>
    <row r="15" spans="10:40" x14ac:dyDescent="0.2">
      <c r="J15" s="206" t="s">
        <v>237</v>
      </c>
      <c r="K15" s="207"/>
      <c r="L15" s="207"/>
      <c r="M15" s="207" t="s">
        <v>290</v>
      </c>
      <c r="N15" s="75"/>
      <c r="O15" s="308">
        <f ca="1">SUMIFS(M16:M22,Q16:Q22,1,J16:J22,"消费")</f>
        <v>4898.4594285714293</v>
      </c>
      <c r="P15" s="307">
        <f>SUMIFS(M16:M22,Q16:Q22,1,J16:J22,"生活")</f>
        <v>0</v>
      </c>
      <c r="Q15" s="250"/>
      <c r="R15" s="1"/>
      <c r="AJ15" s="1"/>
      <c r="AM15" s="1"/>
      <c r="AN15" s="1"/>
    </row>
    <row r="16" spans="10:40" x14ac:dyDescent="0.2">
      <c r="J16" s="77" t="s">
        <v>86</v>
      </c>
      <c r="K16" s="152" t="s">
        <v>4</v>
      </c>
      <c r="L16" s="152">
        <v>4500</v>
      </c>
      <c r="M16" s="64">
        <f ca="1">((_xlfn.CEILING.MATH((TODAY()-now!O16)/30,1))/(_xlfn.CEILING.MATH((now!P16-now!O16)/30,1))*L16-N16)*now!Q16</f>
        <v>-85</v>
      </c>
      <c r="N16" s="152">
        <v>685</v>
      </c>
      <c r="O16" s="305">
        <v>46066</v>
      </c>
      <c r="P16" s="305">
        <f ca="1">TODAY()+365</f>
        <v>46488</v>
      </c>
      <c r="Q16" s="132">
        <v>1</v>
      </c>
      <c r="R16" s="64"/>
      <c r="T16" s="64"/>
      <c r="V16" s="1"/>
      <c r="AJ16" s="1"/>
      <c r="AM16" s="1"/>
      <c r="AN16" s="1"/>
    </row>
    <row r="17" spans="10:42" x14ac:dyDescent="0.2">
      <c r="J17" s="77" t="s">
        <v>86</v>
      </c>
      <c r="K17" s="152" t="s">
        <v>21</v>
      </c>
      <c r="L17" s="145">
        <f>60000-月初!G16-年!S4</f>
        <v>36573.72</v>
      </c>
      <c r="M17" s="64">
        <f ca="1">((_xlfn.CEILING.MATH((TODAY()-now!O17)/30,1))/(_xlfn.CEILING.MATH((now!P17-now!O17)/30,1))*L17-N17)*now!Q17</f>
        <v>4983.4594285714293</v>
      </c>
      <c r="N17" s="152">
        <f>67+20+90+55+91+588+27</f>
        <v>938</v>
      </c>
      <c r="O17" s="305">
        <v>45628</v>
      </c>
      <c r="P17" s="305">
        <v>48777</v>
      </c>
      <c r="Q17" s="132">
        <v>1</v>
      </c>
      <c r="R17" s="64"/>
      <c r="T17" s="64"/>
      <c r="V17" s="118"/>
      <c r="AJ17" s="1"/>
      <c r="AM17" s="1"/>
      <c r="AN17" s="1"/>
    </row>
    <row r="18" spans="10:42" x14ac:dyDescent="0.2">
      <c r="J18" s="77" t="s">
        <v>86</v>
      </c>
      <c r="K18" s="152" t="s">
        <v>342</v>
      </c>
      <c r="L18" s="145" t="e">
        <f>60000-月初!#REF!-年!S5</f>
        <v>#REF!</v>
      </c>
      <c r="M18" s="64" t="e">
        <f ca="1">((_xlfn.CEILING.MATH((TODAY()-now!O18)/30,1))/(_xlfn.CEILING.MATH((now!P18-now!O18)/30,1))*L18-N18)*now!Q18</f>
        <v>#REF!</v>
      </c>
      <c r="N18" s="152">
        <f>67+20+90+55+91+588+27</f>
        <v>938</v>
      </c>
      <c r="O18" s="305">
        <v>45628</v>
      </c>
      <c r="P18" s="305">
        <v>48777</v>
      </c>
      <c r="Q18" s="132">
        <v>2</v>
      </c>
      <c r="R18" s="64"/>
      <c r="T18" s="1"/>
      <c r="V18" s="1"/>
      <c r="AJ18" s="1"/>
      <c r="AM18" s="1"/>
      <c r="AN18" s="1"/>
    </row>
    <row r="19" spans="10:42" x14ac:dyDescent="0.2">
      <c r="J19" s="77" t="s">
        <v>86</v>
      </c>
      <c r="K19" s="152" t="s">
        <v>343</v>
      </c>
      <c r="L19" s="152">
        <v>980</v>
      </c>
      <c r="M19" s="64">
        <v>0</v>
      </c>
      <c r="N19" s="152">
        <v>0</v>
      </c>
      <c r="O19" s="305">
        <v>46076</v>
      </c>
      <c r="P19" s="305">
        <f ca="1">TODAY()+365</f>
        <v>46488</v>
      </c>
      <c r="Q19" s="132">
        <v>1</v>
      </c>
      <c r="R19" s="64"/>
      <c r="AJ19" s="1"/>
      <c r="AM19" s="1"/>
      <c r="AN19" s="1"/>
    </row>
    <row r="20" spans="10:42" x14ac:dyDescent="0.2">
      <c r="J20" s="77" t="s">
        <v>86</v>
      </c>
      <c r="K20" s="152"/>
      <c r="L20" s="152"/>
      <c r="M20" s="64"/>
      <c r="N20" s="152">
        <v>0</v>
      </c>
      <c r="O20" s="152"/>
      <c r="P20" s="305">
        <f ca="1">TODAY()+365</f>
        <v>46488</v>
      </c>
      <c r="Q20" s="132">
        <v>1</v>
      </c>
      <c r="AJ20" s="1"/>
      <c r="AM20" s="1"/>
      <c r="AN20" s="1"/>
    </row>
    <row r="21" spans="10:42" x14ac:dyDescent="0.2">
      <c r="J21" s="77" t="s">
        <v>86</v>
      </c>
      <c r="K21" s="152"/>
      <c r="L21" s="152"/>
      <c r="M21" s="64"/>
      <c r="N21" s="152">
        <v>0</v>
      </c>
      <c r="O21" s="152"/>
      <c r="P21" s="305">
        <f ca="1">TODAY()+365</f>
        <v>46488</v>
      </c>
      <c r="Q21" s="132">
        <v>1</v>
      </c>
      <c r="AJ21" s="1"/>
      <c r="AM21" s="1"/>
      <c r="AN21" s="1"/>
    </row>
    <row r="22" spans="10:42" ht="15" thickBot="1" x14ac:dyDescent="0.25">
      <c r="J22" s="78" t="s">
        <v>86</v>
      </c>
      <c r="K22" s="200"/>
      <c r="L22" s="200"/>
      <c r="M22" s="163"/>
      <c r="N22" s="200">
        <v>0</v>
      </c>
      <c r="O22" s="200"/>
      <c r="P22" s="330">
        <f ca="1">TODAY()+365</f>
        <v>46488</v>
      </c>
      <c r="Q22" s="281">
        <v>1</v>
      </c>
      <c r="AJ22" s="1"/>
      <c r="AM22" s="1"/>
      <c r="AN22" s="1"/>
    </row>
    <row r="23" spans="10:42" x14ac:dyDescent="0.2">
      <c r="J23" s="74" t="s">
        <v>231</v>
      </c>
      <c r="K23" s="120">
        <f ca="1">(   MIN(now!K33*12/0.04,now!K33*12*(100-(YEAR(TODAY())-2002)))   -年!S4)/10000</f>
        <v>83.562432038400246</v>
      </c>
      <c r="L23" s="122">
        <f ca="1">ROUND(K23*10000/(K31-now!M33)/12,1)</f>
        <v>-31.8</v>
      </c>
      <c r="M23" s="123">
        <f ca="1">K23*10000/(55-(YEAR(TODAY())-2002))/12</f>
        <v>2246.3019365161354</v>
      </c>
      <c r="S23" s="64"/>
      <c r="T23" s="64"/>
      <c r="U23" s="64"/>
      <c r="V23" s="64"/>
      <c r="AJ23" s="1"/>
      <c r="AM23" s="1"/>
      <c r="AN23" s="1"/>
    </row>
    <row r="24" spans="10:42" x14ac:dyDescent="0.2">
      <c r="J24" s="77" t="s">
        <v>232</v>
      </c>
      <c r="K24" s="121">
        <f ca="1">(MIN(now!M33*12*(100-(YEAR(TODAY())-2002)),now!M33*12/0.04)-年!S4)/10000</f>
        <v>189.27437819224636</v>
      </c>
      <c r="L24" s="32">
        <f ca="1">ROUND(K24*10000/(K31-now!M33)/12,1)</f>
        <v>-72</v>
      </c>
      <c r="M24" s="92">
        <f ca="1">K24*10000/(55-(YEAR(TODAY())-2002))/12</f>
        <v>5088.0209191464073</v>
      </c>
      <c r="S24" s="64"/>
      <c r="T24" s="64"/>
      <c r="U24" s="64"/>
      <c r="V24" s="64"/>
      <c r="AJ24" s="1"/>
      <c r="AM24" s="1"/>
      <c r="AN24" s="1"/>
    </row>
    <row r="25" spans="10:42" ht="15" thickBot="1" x14ac:dyDescent="0.25">
      <c r="J25" s="78"/>
      <c r="K25" s="124" t="s">
        <v>143</v>
      </c>
      <c r="L25" s="125" t="s">
        <v>103</v>
      </c>
      <c r="M25" s="126" t="s">
        <v>144</v>
      </c>
      <c r="S25" s="64"/>
      <c r="T25" s="64"/>
      <c r="U25" s="64"/>
      <c r="V25" s="64"/>
      <c r="AJ25" s="1"/>
      <c r="AM25" s="1"/>
      <c r="AN25" s="1"/>
    </row>
    <row r="26" spans="10:42" ht="15" thickBot="1" x14ac:dyDescent="0.25">
      <c r="P26" s="67"/>
      <c r="R26" s="84"/>
      <c r="T26" s="36"/>
      <c r="AJ26" s="1"/>
      <c r="AM26" s="1"/>
      <c r="AN26" s="1"/>
    </row>
    <row r="27" spans="10:42" x14ac:dyDescent="0.2">
      <c r="J27" s="292" t="s">
        <v>180</v>
      </c>
      <c r="K27" s="1"/>
      <c r="L27" s="1" t="s">
        <v>178</v>
      </c>
      <c r="M27" t="s">
        <v>177</v>
      </c>
      <c r="N27" s="1" t="s">
        <v>176</v>
      </c>
      <c r="O27" s="138" t="s">
        <v>175</v>
      </c>
      <c r="P27" s="295" t="str">
        <f ca="1">IF(OR(AND(DAY(TODAY())&gt;=K11,DAY(TODAY())&lt;=K12),AND(DAY(TODAY())&gt;=L11,DAY(TODAY())&lt;=L12),AND(DAY(TODAY())&gt;=M11,DAY(TODAY())&lt;=M12)),"家",
IF(OR(AND(DAY(TODAY())&gt;=O11,DAY(TODAY())&lt;=O12),AND(DAY(TODAY())&gt;=P11,DAY(TODAY())&lt;=P12),AND(DAY(TODAY())&gt;=Q11,DAY(TODAY())&lt;=Q12)),"游","校"))</f>
        <v>校</v>
      </c>
      <c r="Q27" s="372" t="str">
        <f ca="1">"日均"&amp;ROUND(Q28-R29-R28-年!M1,0)</f>
        <v>日均112</v>
      </c>
      <c r="R27" s="373"/>
      <c r="T27" s="36"/>
      <c r="AJ27" s="1"/>
      <c r="AM27" s="1"/>
      <c r="AN27" s="1"/>
    </row>
    <row r="28" spans="10:42" x14ac:dyDescent="0.2">
      <c r="J28" s="294" t="s">
        <v>179</v>
      </c>
      <c r="K28" s="1" t="s">
        <v>146</v>
      </c>
      <c r="L28" s="141">
        <f>M28/SUM($M$28:$M$30)</f>
        <v>0.58229642313546426</v>
      </c>
      <c r="M28" s="133">
        <f>SUMIF(now!$W:$W,K28,now!$AG:$AG)+now!Y33</f>
        <v>13.975114155251145</v>
      </c>
      <c r="N28" s="1"/>
      <c r="O28" s="142">
        <v>0.5</v>
      </c>
      <c r="P28" s="77" t="s">
        <v>273</v>
      </c>
      <c r="Q28" s="198">
        <f ca="1">-(SUMIF(now!AL:AL,"&lt;0",now!AL:AL))</f>
        <v>139.87642208548451</v>
      </c>
      <c r="R28" s="215">
        <f ca="1">SUMIFS(now!AL:AL,now!AL:AL,"&gt;0",now!AI:AI,"消费")</f>
        <v>22.17971298108284</v>
      </c>
      <c r="T28" s="36"/>
      <c r="AJ28" s="1"/>
      <c r="AM28" s="1"/>
      <c r="AN28" s="1"/>
    </row>
    <row r="29" spans="10:42" ht="15" thickBot="1" x14ac:dyDescent="0.25">
      <c r="J29" s="293">
        <v>5</v>
      </c>
      <c r="K29" s="1" t="s">
        <v>293</v>
      </c>
      <c r="L29" s="143">
        <f>M29/SUM($M$28:$M$30)</f>
        <v>0.31849722765818655</v>
      </c>
      <c r="M29" s="133">
        <f>SUMIF(now!$W:$W,K29,now!$AG:$AG)</f>
        <v>7.6439334637964782</v>
      </c>
      <c r="N29" s="97">
        <v>3</v>
      </c>
      <c r="O29" s="144">
        <f>(1-$L$28)/SUM($N$29:$N$30)*N29</f>
        <v>0.25062214611872147</v>
      </c>
      <c r="P29" s="78" t="s">
        <v>268</v>
      </c>
      <c r="Q29" s="296">
        <f ca="1">-(SUMIFS(now!AL:AL,now!AL:AL,"&lt;0",now!AA:AA,30))</f>
        <v>135.33333333333334</v>
      </c>
      <c r="R29" s="214">
        <f ca="1">SUMIFS(now!AL:AL,now!AL:AL,"&gt;0",now!AI:AI,"生活")</f>
        <v>5.4794520547945202</v>
      </c>
      <c r="T29" s="36"/>
      <c r="AJ29" s="1"/>
      <c r="AM29" s="1"/>
      <c r="AN29" s="1"/>
    </row>
    <row r="30" spans="10:42" ht="15" thickBot="1" x14ac:dyDescent="0.25">
      <c r="J30" s="294" t="s">
        <v>68</v>
      </c>
      <c r="K30" s="1" t="s">
        <v>158</v>
      </c>
      <c r="L30" s="143">
        <f>M30/SUM($M$28:$M$30)</f>
        <v>9.9206349206349187E-2</v>
      </c>
      <c r="M30" s="133">
        <f>SUMIF(now!$W:$W,K30,now!$AG:$AG)</f>
        <v>2.3809523809523809</v>
      </c>
      <c r="N30" s="301">
        <v>2</v>
      </c>
      <c r="O30" s="144">
        <f>(1-$L$28)/SUM($N$29:$N$30)*N30</f>
        <v>0.1670814307458143</v>
      </c>
      <c r="P30" s="1"/>
      <c r="Q30" s="198"/>
      <c r="R30" s="198"/>
      <c r="AJ30" s="1"/>
      <c r="AM30" s="1"/>
      <c r="AN30" s="1"/>
    </row>
    <row r="31" spans="10:42" x14ac:dyDescent="0.2">
      <c r="J31" s="289" t="s">
        <v>280</v>
      </c>
      <c r="K31" s="290">
        <f ca="1">now!Q28*30</f>
        <v>4196.292662564535</v>
      </c>
      <c r="L31" s="291" t="s">
        <v>284</v>
      </c>
      <c r="M31" s="369">
        <f ca="1">K31-K32</f>
        <v>1716.3149792332451</v>
      </c>
      <c r="N31" s="75" t="s">
        <v>303</v>
      </c>
      <c r="O31" s="291">
        <f ca="1">K31-K32-M32-O32</f>
        <v>-2574.0873284590625</v>
      </c>
      <c r="P31" s="75" t="s">
        <v>120</v>
      </c>
      <c r="Q31" s="302">
        <f>(年!R5-now!M33)/年!R5</f>
        <v>-0.13813507877325332</v>
      </c>
      <c r="R31" s="198"/>
      <c r="AJ31" s="1"/>
      <c r="AM31" s="1"/>
      <c r="AN31" s="1"/>
    </row>
    <row r="32" spans="10:42" x14ac:dyDescent="0.2">
      <c r="J32" s="77" t="s">
        <v>279</v>
      </c>
      <c r="K32" s="95" cm="1">
        <f t="array" ref="K32">NxtSheets("now",48,"B4")+NxtSheets("now",48,"B5")</f>
        <v>2479.9776833312899</v>
      </c>
      <c r="L32" s="1" t="s">
        <v>282</v>
      </c>
      <c r="M32" s="95" cm="1">
        <f t="array" ref="M32">NxtSheets("now",48,"B3")</f>
        <v>766.67076923076945</v>
      </c>
      <c r="N32" s="1" t="s">
        <v>86</v>
      </c>
      <c r="O32" s="95" cm="1">
        <f t="array" ref="O32">NxtSheets("now",48,"D3")+NxtSheets("now",48,"D4")+NxtSheets("now",48,"D5")</f>
        <v>3523.7315384615381</v>
      </c>
      <c r="P32" s="1" t="s">
        <v>190</v>
      </c>
      <c r="Q32" s="317" cm="1">
        <f t="array" aca="1" ref="Q32" ca="1">NxtSheets("now",48,"H2")/100</f>
        <v>7.0956601505168124E-2</v>
      </c>
      <c r="Z32" s="297" t="s">
        <v>152</v>
      </c>
      <c r="AA32" s="298">
        <v>1</v>
      </c>
      <c r="AB32" s="298">
        <v>1</v>
      </c>
      <c r="AC32" s="298"/>
      <c r="AD32" s="298">
        <f>AB32/AA32*7</f>
        <v>7</v>
      </c>
      <c r="AE32" s="218"/>
      <c r="AF32" s="218">
        <f>年!M2-AE32</f>
        <v>168</v>
      </c>
      <c r="AG32" s="218">
        <f>AE32/7</f>
        <v>0</v>
      </c>
      <c r="AH32" s="299">
        <f>AF32/7</f>
        <v>24</v>
      </c>
      <c r="AI32" s="298" t="str">
        <f>IF(AJ32=0,":)",IF(W33="活","生活",IF(W33="课","生活",IF(W33="玩","消费"))))</f>
        <v>:)</v>
      </c>
      <c r="AJ32" s="298"/>
      <c r="AK32" s="218">
        <f>AJ32*AB32/AA32</f>
        <v>0</v>
      </c>
      <c r="AL32" s="298">
        <f>AK32*AM32</f>
        <v>0</v>
      </c>
      <c r="AM32" s="298">
        <v>1</v>
      </c>
      <c r="AN32" s="1" t="str">
        <f>IF(AL32=0,"",ABS(AL32))</f>
        <v/>
      </c>
      <c r="AO32" s="64"/>
      <c r="AP32" s="64"/>
    </row>
    <row r="33" spans="10:45" ht="15" thickBot="1" x14ac:dyDescent="0.25">
      <c r="J33" s="78" t="s">
        <v>16</v>
      </c>
      <c r="K33" s="318">
        <f>now!K32+now!M32*0.5</f>
        <v>2863.3130679466744</v>
      </c>
      <c r="L33" s="319" t="s">
        <v>29</v>
      </c>
      <c r="M33" s="320">
        <f>K33+O32</f>
        <v>6387.0446064082125</v>
      </c>
      <c r="N33" s="129"/>
      <c r="O33" s="256"/>
      <c r="P33" s="129"/>
      <c r="Q33" s="303"/>
      <c r="W33" s="1" t="s">
        <v>146</v>
      </c>
      <c r="X33" s="89" t="s">
        <v>164</v>
      </c>
      <c r="Y33" s="220">
        <f>MIN(AH:AH)</f>
        <v>10.665557729941295</v>
      </c>
      <c r="Z33" s="297"/>
      <c r="AA33" s="298"/>
      <c r="AB33" s="298"/>
      <c r="AC33" s="298"/>
      <c r="AD33" s="298"/>
      <c r="AE33" s="218"/>
      <c r="AF33" s="218"/>
      <c r="AG33" s="218"/>
      <c r="AH33" s="299"/>
      <c r="AI33" s="298"/>
      <c r="AJ33" s="298"/>
      <c r="AK33" s="218"/>
      <c r="AL33" s="298"/>
      <c r="AM33" s="298"/>
      <c r="AN33" s="1" t="str">
        <f>IF(AL33=0,"",ABS(AL33))</f>
        <v/>
      </c>
      <c r="AO33" s="64"/>
      <c r="AP33" s="64"/>
    </row>
    <row r="34" spans="10:45" x14ac:dyDescent="0.2">
      <c r="J34" s="104"/>
      <c r="N34" s="104"/>
      <c r="W34" s="134" t="s">
        <v>109</v>
      </c>
      <c r="X34" s="134" t="s">
        <v>174</v>
      </c>
      <c r="Y34" s="134" t="s">
        <v>173</v>
      </c>
      <c r="Z34" s="134" t="s">
        <v>172</v>
      </c>
      <c r="AA34" s="134" t="s">
        <v>68</v>
      </c>
      <c r="AB34" s="134" t="s">
        <v>171</v>
      </c>
      <c r="AC34" s="134"/>
      <c r="AD34" s="134" t="s">
        <v>170</v>
      </c>
      <c r="AE34" s="134" t="s">
        <v>169</v>
      </c>
      <c r="AF34" s="300">
        <f>AF32</f>
        <v>168</v>
      </c>
      <c r="AG34" s="134" t="s">
        <v>168</v>
      </c>
      <c r="AH34" s="134" t="s">
        <v>167</v>
      </c>
      <c r="AI34" s="134" t="s">
        <v>109</v>
      </c>
      <c r="AJ34" s="1" t="s">
        <v>166</v>
      </c>
      <c r="AK34" s="1" t="s">
        <v>165</v>
      </c>
      <c r="AL34" s="1" t="s">
        <v>223</v>
      </c>
      <c r="AM34" s="1" t="s">
        <v>219</v>
      </c>
      <c r="AN34" s="1" t="s">
        <v>271</v>
      </c>
      <c r="AO34" s="64"/>
      <c r="AP34" s="64"/>
    </row>
    <row r="35" spans="10:45" x14ac:dyDescent="0.2">
      <c r="W35" s="1" t="s">
        <v>146</v>
      </c>
      <c r="X35" s="89" t="s">
        <v>319</v>
      </c>
      <c r="AA35" s="1">
        <v>30</v>
      </c>
      <c r="AB35" s="1">
        <v>1</v>
      </c>
      <c r="AD35" s="1">
        <f t="shared" ref="AD35:AD45" si="6">AB35/AA35*7</f>
        <v>0.23333333333333334</v>
      </c>
      <c r="AE35" s="64">
        <f>Y35*AD35*IF(Z35=年!$N$2,1,1/60)</f>
        <v>0</v>
      </c>
      <c r="AF35" s="64">
        <f>AF34-AE35</f>
        <v>168</v>
      </c>
      <c r="AG35" s="64">
        <f t="shared" ref="AG35:AG45" si="7">AE35/7</f>
        <v>0</v>
      </c>
      <c r="AH35" s="133">
        <f t="shared" ref="AH35:AH45" si="8">AF35/7</f>
        <v>24</v>
      </c>
      <c r="AI35" s="1" t="str">
        <f t="shared" ref="AI35:AI45" si="9">IF(AJ35=0,":)",IF(W35="活","生活",IF(W35="课","生活",IF(W35="玩","消费"))))</f>
        <v>生活</v>
      </c>
      <c r="AJ35" s="152">
        <v>-2000</v>
      </c>
      <c r="AK35" s="64">
        <f t="shared" ref="AK35:AK45" si="10">AJ35*AB35/AA35</f>
        <v>-66.666666666666671</v>
      </c>
      <c r="AL35" s="64">
        <f ca="1">AK35*AM35</f>
        <v>-66.666666666666671</v>
      </c>
      <c r="AM35" s="1">
        <f ca="1">IF(now!$P$27=年!$O$2,1,0)</f>
        <v>1</v>
      </c>
      <c r="AN35" s="64">
        <f ca="1">IF(AL35=0,"",ABS(AL35))</f>
        <v>66.666666666666671</v>
      </c>
      <c r="AO35" s="64"/>
      <c r="AP35" s="64"/>
    </row>
    <row r="36" spans="10:45" x14ac:dyDescent="0.2">
      <c r="W36" s="1" t="s">
        <v>146</v>
      </c>
      <c r="X36" s="89" t="s">
        <v>8</v>
      </c>
      <c r="AA36" s="1">
        <v>365</v>
      </c>
      <c r="AB36" s="1">
        <v>1</v>
      </c>
      <c r="AD36" s="1">
        <f t="shared" si="6"/>
        <v>1.9178082191780823E-2</v>
      </c>
      <c r="AE36" s="64">
        <f>Y36*AD36*IF(Z36=年!$N$2,1,1/60)</f>
        <v>0</v>
      </c>
      <c r="AF36" s="64">
        <f t="shared" ref="AF36:AF45" si="11">AF35-AE36</f>
        <v>168</v>
      </c>
      <c r="AG36" s="64">
        <f t="shared" si="7"/>
        <v>0</v>
      </c>
      <c r="AH36" s="133">
        <f t="shared" si="8"/>
        <v>24</v>
      </c>
      <c r="AI36" s="1" t="str">
        <f ca="1">IF(AJ36=0,":)",IF(W36="活","生活",IF(W36="课","生活",IF(W36="玩","消费"))))</f>
        <v>生活</v>
      </c>
      <c r="AJ36" s="145">
        <f ca="1">-月初!A20*now!Q32</f>
        <v>-1658.2273945351769</v>
      </c>
      <c r="AK36" s="64">
        <f ca="1">AJ36*AB36/AA36</f>
        <v>-4.5430887521511698</v>
      </c>
      <c r="AL36" s="64">
        <f ca="1">AK36*AM36</f>
        <v>-4.5430887521511698</v>
      </c>
      <c r="AM36" s="152">
        <v>1</v>
      </c>
      <c r="AN36" s="64">
        <f ca="1">IF(AL36=0,"",ABS(AL36))</f>
        <v>4.5430887521511698</v>
      </c>
    </row>
    <row r="37" spans="10:45" x14ac:dyDescent="0.2">
      <c r="W37" s="1" t="s">
        <v>146</v>
      </c>
      <c r="X37" s="89" t="s">
        <v>195</v>
      </c>
      <c r="Y37" s="1">
        <v>10</v>
      </c>
      <c r="Z37" s="1" t="s">
        <v>152</v>
      </c>
      <c r="AA37" s="1">
        <v>365</v>
      </c>
      <c r="AB37" s="1">
        <v>2</v>
      </c>
      <c r="AD37" s="1">
        <f t="shared" si="6"/>
        <v>3.8356164383561646E-2</v>
      </c>
      <c r="AE37" s="64">
        <f>Y37*AD37*IF(Z37=年!$N$2,1,1/60)</f>
        <v>0.38356164383561647</v>
      </c>
      <c r="AF37" s="64">
        <f t="shared" si="11"/>
        <v>167.61643835616439</v>
      </c>
      <c r="AG37" s="64">
        <f t="shared" si="7"/>
        <v>5.4794520547945209E-2</v>
      </c>
      <c r="AH37" s="133">
        <f t="shared" si="8"/>
        <v>23.945205479452056</v>
      </c>
      <c r="AI37" s="1" t="str">
        <f t="shared" si="9"/>
        <v>生活</v>
      </c>
      <c r="AJ37" s="145">
        <v>1000</v>
      </c>
      <c r="AK37" s="64">
        <f t="shared" si="10"/>
        <v>5.4794520547945202</v>
      </c>
      <c r="AL37" s="64">
        <f t="shared" ref="AL37:AL42" si="12">AK37*AM37</f>
        <v>5.4794520547945202</v>
      </c>
      <c r="AM37" s="152">
        <v>1</v>
      </c>
      <c r="AN37" s="64">
        <f t="shared" ref="AN37:AN42" si="13">IF(AL37=0,"",ABS(AL37))</f>
        <v>5.4794520547945202</v>
      </c>
      <c r="AO37" s="1"/>
    </row>
    <row r="38" spans="10:45" x14ac:dyDescent="0.2">
      <c r="W38" s="1" t="s">
        <v>146</v>
      </c>
      <c r="X38" s="89" t="s">
        <v>163</v>
      </c>
      <c r="Y38" s="1">
        <v>20</v>
      </c>
      <c r="Z38" s="1" t="s">
        <v>147</v>
      </c>
      <c r="AA38" s="1">
        <v>1</v>
      </c>
      <c r="AB38" s="1">
        <v>3</v>
      </c>
      <c r="AD38" s="1">
        <f t="shared" si="6"/>
        <v>21</v>
      </c>
      <c r="AE38" s="64">
        <f>Y38*AD38*IF(Z38=年!$N$2,1,1/60)</f>
        <v>7</v>
      </c>
      <c r="AF38" s="64">
        <f t="shared" si="11"/>
        <v>160.61643835616439</v>
      </c>
      <c r="AG38" s="64">
        <f t="shared" si="7"/>
        <v>1</v>
      </c>
      <c r="AH38" s="133">
        <f t="shared" si="8"/>
        <v>22.945205479452056</v>
      </c>
      <c r="AI38" s="1" t="str">
        <f t="shared" si="9"/>
        <v>:)</v>
      </c>
      <c r="AJ38" s="145"/>
      <c r="AK38" s="64">
        <f t="shared" si="10"/>
        <v>0</v>
      </c>
      <c r="AL38" s="1">
        <f t="shared" si="12"/>
        <v>0</v>
      </c>
      <c r="AM38" s="152">
        <v>1</v>
      </c>
      <c r="AN38" s="64" t="str">
        <f t="shared" si="13"/>
        <v/>
      </c>
      <c r="AO38" s="84"/>
    </row>
    <row r="39" spans="10:45" x14ac:dyDescent="0.2">
      <c r="W39" s="1" t="s">
        <v>146</v>
      </c>
      <c r="X39" s="89" t="s">
        <v>162</v>
      </c>
      <c r="Y39" s="1">
        <v>2</v>
      </c>
      <c r="Z39" s="1" t="s">
        <v>152</v>
      </c>
      <c r="AA39" s="1">
        <v>1</v>
      </c>
      <c r="AB39" s="1">
        <v>1</v>
      </c>
      <c r="AD39" s="1">
        <f t="shared" si="6"/>
        <v>7</v>
      </c>
      <c r="AE39" s="64">
        <f>Y39*AD39*IF(Z39=年!$N$2,1,1/60)</f>
        <v>14</v>
      </c>
      <c r="AF39" s="64">
        <f t="shared" si="11"/>
        <v>146.61643835616439</v>
      </c>
      <c r="AG39" s="64">
        <f t="shared" si="7"/>
        <v>2</v>
      </c>
      <c r="AH39" s="133">
        <f t="shared" si="8"/>
        <v>20.945205479452056</v>
      </c>
      <c r="AI39" s="1" t="str">
        <f t="shared" si="9"/>
        <v>:)</v>
      </c>
      <c r="AK39" s="64">
        <f t="shared" si="10"/>
        <v>0</v>
      </c>
      <c r="AL39" s="1">
        <f t="shared" si="12"/>
        <v>0</v>
      </c>
      <c r="AM39" s="152">
        <v>1</v>
      </c>
      <c r="AN39" s="64" t="str">
        <f t="shared" si="13"/>
        <v/>
      </c>
    </row>
    <row r="40" spans="10:45" x14ac:dyDescent="0.2">
      <c r="W40" s="1" t="s">
        <v>146</v>
      </c>
      <c r="X40" s="89" t="s">
        <v>84</v>
      </c>
      <c r="Y40" s="1">
        <v>50</v>
      </c>
      <c r="Z40" s="1" t="s">
        <v>147</v>
      </c>
      <c r="AA40" s="1">
        <v>5</v>
      </c>
      <c r="AB40" s="1">
        <v>1</v>
      </c>
      <c r="AD40" s="1">
        <f t="shared" si="6"/>
        <v>1.4000000000000001</v>
      </c>
      <c r="AE40" s="64">
        <f>Y40*AD40*IF(Z40=年!$N$2,1,1/60)</f>
        <v>1.1666666666666667</v>
      </c>
      <c r="AF40" s="64">
        <f t="shared" si="11"/>
        <v>145.44977168949774</v>
      </c>
      <c r="AG40" s="64">
        <f t="shared" si="7"/>
        <v>0.16666666666666669</v>
      </c>
      <c r="AH40" s="133">
        <f t="shared" si="8"/>
        <v>20.778538812785392</v>
      </c>
      <c r="AI40" s="1" t="str">
        <f t="shared" si="9"/>
        <v>:)</v>
      </c>
      <c r="AJ40" s="1"/>
      <c r="AK40" s="64">
        <f t="shared" si="10"/>
        <v>0</v>
      </c>
      <c r="AL40" s="1">
        <f t="shared" si="12"/>
        <v>0</v>
      </c>
      <c r="AM40" s="152">
        <v>1</v>
      </c>
      <c r="AN40" s="64" t="str">
        <f t="shared" si="13"/>
        <v/>
      </c>
    </row>
    <row r="41" spans="10:45" x14ac:dyDescent="0.2">
      <c r="W41" s="1" t="s">
        <v>146</v>
      </c>
      <c r="X41" s="89" t="s">
        <v>160</v>
      </c>
      <c r="Y41" s="1">
        <v>30</v>
      </c>
      <c r="Z41" s="1" t="s">
        <v>147</v>
      </c>
      <c r="AA41" s="1">
        <v>30</v>
      </c>
      <c r="AB41" s="1">
        <v>1</v>
      </c>
      <c r="AD41" s="1">
        <f t="shared" si="6"/>
        <v>0.23333333333333334</v>
      </c>
      <c r="AE41" s="64">
        <f>Y41*AD41*IF(Z41=年!$N$2,1,1/60)</f>
        <v>0.11666666666666667</v>
      </c>
      <c r="AF41" s="64">
        <f t="shared" si="11"/>
        <v>145.33310502283106</v>
      </c>
      <c r="AG41" s="64">
        <f t="shared" si="7"/>
        <v>1.6666666666666666E-2</v>
      </c>
      <c r="AH41" s="133">
        <f t="shared" si="8"/>
        <v>20.761872146118723</v>
      </c>
      <c r="AI41" s="1" t="str">
        <f t="shared" si="9"/>
        <v>:)</v>
      </c>
      <c r="AK41" s="64">
        <f t="shared" si="10"/>
        <v>0</v>
      </c>
      <c r="AL41" s="1">
        <f t="shared" si="12"/>
        <v>0</v>
      </c>
      <c r="AM41" s="152">
        <v>1</v>
      </c>
      <c r="AN41" s="64" t="str">
        <f t="shared" si="13"/>
        <v/>
      </c>
    </row>
    <row r="42" spans="10:45" x14ac:dyDescent="0.2">
      <c r="W42" s="1" t="s">
        <v>146</v>
      </c>
      <c r="X42" s="89" t="s">
        <v>161</v>
      </c>
      <c r="Y42" s="1">
        <v>30</v>
      </c>
      <c r="Z42" s="1" t="s">
        <v>147</v>
      </c>
      <c r="AA42" s="1">
        <v>7</v>
      </c>
      <c r="AB42" s="1">
        <v>1</v>
      </c>
      <c r="AD42" s="1">
        <f t="shared" si="6"/>
        <v>1</v>
      </c>
      <c r="AE42" s="64">
        <f>Y42*AD42*IF(Z42=年!$N$2,1,1/60)</f>
        <v>0.5</v>
      </c>
      <c r="AF42" s="64">
        <f t="shared" si="11"/>
        <v>144.83310502283106</v>
      </c>
      <c r="AG42" s="64">
        <f t="shared" si="7"/>
        <v>7.1428571428571425E-2</v>
      </c>
      <c r="AH42" s="133">
        <f t="shared" si="8"/>
        <v>20.690443574690153</v>
      </c>
      <c r="AI42" s="1" t="str">
        <f t="shared" si="9"/>
        <v>:)</v>
      </c>
      <c r="AK42" s="64">
        <f t="shared" si="10"/>
        <v>0</v>
      </c>
      <c r="AL42" s="1">
        <f t="shared" si="12"/>
        <v>0</v>
      </c>
      <c r="AM42" s="152">
        <v>1</v>
      </c>
      <c r="AN42" s="64" t="str">
        <f t="shared" si="13"/>
        <v/>
      </c>
      <c r="AO42" s="259"/>
      <c r="AP42" s="96"/>
      <c r="AQ42" s="32"/>
      <c r="AR42" s="32"/>
      <c r="AS42" s="32"/>
    </row>
    <row r="43" spans="10:45" x14ac:dyDescent="0.2">
      <c r="W43" s="1" t="s">
        <v>158</v>
      </c>
      <c r="X43" s="89" t="s">
        <v>213</v>
      </c>
      <c r="AA43" s="1">
        <v>30</v>
      </c>
      <c r="AB43" s="1">
        <v>1</v>
      </c>
      <c r="AD43" s="1">
        <f t="shared" si="6"/>
        <v>0.23333333333333334</v>
      </c>
      <c r="AE43" s="64">
        <f>Y43*AD43*IF(Z43=年!$N$2,1,1/60)</f>
        <v>0</v>
      </c>
      <c r="AF43" s="64">
        <f t="shared" si="11"/>
        <v>144.83310502283106</v>
      </c>
      <c r="AG43" s="64">
        <f t="shared" si="7"/>
        <v>0</v>
      </c>
      <c r="AH43" s="133">
        <f t="shared" si="8"/>
        <v>20.690443574690153</v>
      </c>
      <c r="AI43" s="1" t="str">
        <f t="shared" si="9"/>
        <v>生活</v>
      </c>
      <c r="AJ43" s="152">
        <v>-1500</v>
      </c>
      <c r="AK43" s="64">
        <f t="shared" si="10"/>
        <v>-50</v>
      </c>
      <c r="AL43" s="64">
        <f t="shared" ref="AL43:AL67" ca="1" si="14">AK43*AM43</f>
        <v>-50</v>
      </c>
      <c r="AM43" s="1">
        <f ca="1">IF(now!$P$27=年!$O$2,1,0)</f>
        <v>1</v>
      </c>
      <c r="AN43" s="64">
        <f t="shared" ref="AN43:AN67" ca="1" si="15">IF(AL43=0,"",ABS(AL43))</f>
        <v>50</v>
      </c>
      <c r="AO43" s="64"/>
      <c r="AP43" s="118"/>
      <c r="AQ43" s="1"/>
      <c r="AR43" s="118"/>
      <c r="AS43" s="1"/>
    </row>
    <row r="44" spans="10:45" x14ac:dyDescent="0.2">
      <c r="W44" s="1" t="s">
        <v>158</v>
      </c>
      <c r="X44" s="89" t="s">
        <v>304</v>
      </c>
      <c r="AA44" s="1">
        <v>30</v>
      </c>
      <c r="AB44" s="1">
        <v>1</v>
      </c>
      <c r="AD44" s="1">
        <f t="shared" si="6"/>
        <v>0.23333333333333334</v>
      </c>
      <c r="AE44" s="64">
        <f>Y44*AD44*IF(Z44=年!$N$2,1,1/60)</f>
        <v>0</v>
      </c>
      <c r="AF44" s="64">
        <f t="shared" si="11"/>
        <v>144.83310502283106</v>
      </c>
      <c r="AG44" s="64">
        <f t="shared" si="7"/>
        <v>0</v>
      </c>
      <c r="AH44" s="133">
        <f t="shared" si="8"/>
        <v>20.690443574690153</v>
      </c>
      <c r="AI44" s="1" t="str">
        <f t="shared" si="9"/>
        <v>生活</v>
      </c>
      <c r="AJ44" s="152">
        <v>-560</v>
      </c>
      <c r="AK44" s="64">
        <f t="shared" si="10"/>
        <v>-18.666666666666668</v>
      </c>
      <c r="AL44" s="64">
        <f t="shared" ca="1" si="14"/>
        <v>-18.666666666666668</v>
      </c>
      <c r="AM44" s="1">
        <f ca="1">IF(now!$P$27=年!$O$2,1,0)</f>
        <v>1</v>
      </c>
      <c r="AN44" s="64">
        <f t="shared" ca="1" si="15"/>
        <v>18.666666666666668</v>
      </c>
    </row>
    <row r="45" spans="10:45" x14ac:dyDescent="0.2">
      <c r="W45" s="1" t="s">
        <v>158</v>
      </c>
      <c r="X45" s="89" t="s">
        <v>182</v>
      </c>
      <c r="Y45" s="1">
        <v>2</v>
      </c>
      <c r="Z45" s="1" t="s">
        <v>152</v>
      </c>
      <c r="AA45" s="1">
        <v>7</v>
      </c>
      <c r="AB45" s="1">
        <v>1</v>
      </c>
      <c r="AD45" s="1">
        <f t="shared" si="6"/>
        <v>1</v>
      </c>
      <c r="AE45" s="64">
        <f>Y45*AD45*IF(Z45=年!$N$2,1,1/60)</f>
        <v>2</v>
      </c>
      <c r="AF45" s="64">
        <f t="shared" si="11"/>
        <v>142.83310502283106</v>
      </c>
      <c r="AG45" s="64">
        <f t="shared" si="7"/>
        <v>0.2857142857142857</v>
      </c>
      <c r="AH45" s="133">
        <f t="shared" si="8"/>
        <v>20.404729288975865</v>
      </c>
      <c r="AI45" s="1" t="str">
        <f t="shared" si="9"/>
        <v>生活</v>
      </c>
      <c r="AJ45" s="152">
        <f>-Y45*130</f>
        <v>-260</v>
      </c>
      <c r="AK45" s="64">
        <f t="shared" si="10"/>
        <v>-37.142857142857146</v>
      </c>
      <c r="AL45" s="64">
        <f t="shared" si="14"/>
        <v>0</v>
      </c>
      <c r="AM45" s="1">
        <v>0</v>
      </c>
      <c r="AN45" s="64" t="str">
        <f t="shared" si="15"/>
        <v/>
      </c>
    </row>
    <row r="46" spans="10:45" x14ac:dyDescent="0.2">
      <c r="W46" s="1" t="s">
        <v>158</v>
      </c>
      <c r="X46" s="1" t="s">
        <v>159</v>
      </c>
      <c r="Y46" s="1">
        <v>2</v>
      </c>
      <c r="Z46" s="1" t="s">
        <v>152</v>
      </c>
      <c r="AA46" s="1">
        <v>1</v>
      </c>
      <c r="AB46" s="1">
        <v>1</v>
      </c>
      <c r="AD46" s="1">
        <f>AB46/AA46*7</f>
        <v>7</v>
      </c>
      <c r="AE46" s="64">
        <f>Y46*AD46*IF(Z46=年!$N$2,1,1/60)</f>
        <v>14</v>
      </c>
      <c r="AF46" s="64">
        <f>AF45-AE46</f>
        <v>128.83310502283106</v>
      </c>
      <c r="AG46" s="64">
        <f t="shared" ref="AG46:AH50" si="16">AE46/7</f>
        <v>2</v>
      </c>
      <c r="AH46" s="133">
        <f t="shared" si="16"/>
        <v>18.404729288975865</v>
      </c>
      <c r="AI46" s="1" t="str">
        <f t="shared" ref="AI46:AI67" si="17">IF(AJ46=0,":)",IF(W46="活","生活",IF(W46="课","生活",IF(W46="玩","消费"))))</f>
        <v>:)</v>
      </c>
      <c r="AK46" s="64">
        <f t="shared" ref="AK46:AK67" si="18">AJ46*AB46/AA46</f>
        <v>0</v>
      </c>
      <c r="AL46" s="1">
        <f t="shared" si="14"/>
        <v>0</v>
      </c>
      <c r="AM46" s="152">
        <v>1</v>
      </c>
      <c r="AN46" s="64" t="str">
        <f t="shared" si="15"/>
        <v/>
      </c>
    </row>
    <row r="47" spans="10:45" x14ac:dyDescent="0.2">
      <c r="W47" s="1" t="s">
        <v>158</v>
      </c>
      <c r="X47" s="89" t="s">
        <v>183</v>
      </c>
      <c r="Y47" s="1">
        <v>20</v>
      </c>
      <c r="Z47" s="1" t="s">
        <v>147</v>
      </c>
      <c r="AA47" s="1">
        <f>SUMIF(X:X,"家教",AA:AA)</f>
        <v>7</v>
      </c>
      <c r="AB47" s="1">
        <f>SUMIF(X:X,"家教",AB:AB)*2</f>
        <v>2</v>
      </c>
      <c r="AD47" s="1">
        <f>AB47/AA47*7</f>
        <v>2</v>
      </c>
      <c r="AE47" s="64">
        <f>Y47*AD47*IF(Z47=年!$N$2,1,1/60)</f>
        <v>0.66666666666666663</v>
      </c>
      <c r="AF47" s="64">
        <f>AF46-AE47</f>
        <v>128.16643835616441</v>
      </c>
      <c r="AG47" s="64">
        <f t="shared" si="16"/>
        <v>9.5238095238095233E-2</v>
      </c>
      <c r="AH47" s="133">
        <f t="shared" si="16"/>
        <v>18.309491193737774</v>
      </c>
      <c r="AI47" s="1" t="str">
        <f t="shared" si="17"/>
        <v>:)</v>
      </c>
      <c r="AK47" s="64">
        <f t="shared" si="18"/>
        <v>0</v>
      </c>
      <c r="AL47" s="64">
        <f t="shared" si="14"/>
        <v>0</v>
      </c>
      <c r="AM47" s="1">
        <f>SUMIF(X:X,"家教",AM:AM)</f>
        <v>0</v>
      </c>
      <c r="AN47" s="64" t="str">
        <f t="shared" si="15"/>
        <v/>
      </c>
    </row>
    <row r="48" spans="10:45" x14ac:dyDescent="0.2">
      <c r="W48" s="1" t="s">
        <v>293</v>
      </c>
      <c r="X48" s="1" t="s">
        <v>320</v>
      </c>
      <c r="Y48" s="1">
        <v>2</v>
      </c>
      <c r="Z48" s="1" t="s">
        <v>152</v>
      </c>
      <c r="AA48" s="1">
        <v>2</v>
      </c>
      <c r="AB48" s="1">
        <v>1</v>
      </c>
      <c r="AD48" s="1">
        <f>AB48/AA48*7</f>
        <v>3.5</v>
      </c>
      <c r="AE48" s="64">
        <f>Y48*AD48*IF(Z48=年!$N$2,1,1/60)</f>
        <v>7</v>
      </c>
      <c r="AF48" s="64">
        <f>AF47-AE48</f>
        <v>121.16643835616441</v>
      </c>
      <c r="AG48" s="64">
        <f t="shared" si="16"/>
        <v>1</v>
      </c>
      <c r="AH48" s="133">
        <f t="shared" si="16"/>
        <v>17.309491193737774</v>
      </c>
      <c r="AI48" s="1" t="str">
        <f t="shared" ca="1" si="17"/>
        <v>消费</v>
      </c>
      <c r="AJ48" s="1">
        <f ca="1">IF($P$27="家",0,7)</f>
        <v>7</v>
      </c>
      <c r="AK48" s="64">
        <f ca="1">AJ48*AB48/AA48</f>
        <v>3.5</v>
      </c>
      <c r="AL48" s="64">
        <f t="shared" ca="1" si="14"/>
        <v>3.5</v>
      </c>
      <c r="AM48" s="1">
        <f ca="1">IF(now!$P$27=年!$O$2,1,0)</f>
        <v>1</v>
      </c>
      <c r="AN48" s="64">
        <f t="shared" ca="1" si="15"/>
        <v>3.5</v>
      </c>
    </row>
    <row r="49" spans="23:40" x14ac:dyDescent="0.2">
      <c r="W49" s="1" t="s">
        <v>149</v>
      </c>
      <c r="X49" s="1" t="s">
        <v>154</v>
      </c>
      <c r="Y49" s="1">
        <v>10</v>
      </c>
      <c r="Z49" s="1" t="s">
        <v>152</v>
      </c>
      <c r="AA49" s="1">
        <v>7</v>
      </c>
      <c r="AB49" s="1">
        <v>1</v>
      </c>
      <c r="AD49" s="1">
        <f>AB49/AA49*7</f>
        <v>1</v>
      </c>
      <c r="AE49" s="64">
        <f>Y49*AD49*IF(Z49=年!$N$2,1,1/60)</f>
        <v>10</v>
      </c>
      <c r="AF49" s="64">
        <f>AF48-AE49</f>
        <v>111.16643835616441</v>
      </c>
      <c r="AG49" s="64">
        <f t="shared" si="16"/>
        <v>1.4285714285714286</v>
      </c>
      <c r="AH49" s="133">
        <f t="shared" si="16"/>
        <v>15.880919765166343</v>
      </c>
      <c r="AI49" s="1" t="str">
        <f t="shared" si="17"/>
        <v>消费</v>
      </c>
      <c r="AJ49" s="152">
        <v>10</v>
      </c>
      <c r="AK49" s="64">
        <f t="shared" si="18"/>
        <v>1.4285714285714286</v>
      </c>
      <c r="AL49" s="64">
        <f t="shared" ca="1" si="14"/>
        <v>1.4285714285714286</v>
      </c>
      <c r="AM49" s="1">
        <f ca="1">IF(now!$P$27=年!$O$2,1,0)</f>
        <v>1</v>
      </c>
      <c r="AN49" s="64">
        <f t="shared" ca="1" si="15"/>
        <v>1.4285714285714286</v>
      </c>
    </row>
    <row r="50" spans="23:40" x14ac:dyDescent="0.2">
      <c r="W50" s="1" t="s">
        <v>293</v>
      </c>
      <c r="X50" s="89" t="s">
        <v>184</v>
      </c>
      <c r="Y50" s="1">
        <v>1</v>
      </c>
      <c r="Z50" s="1" t="s">
        <v>152</v>
      </c>
      <c r="AA50" s="1">
        <v>1</v>
      </c>
      <c r="AB50" s="1">
        <v>1</v>
      </c>
      <c r="AD50" s="1">
        <f>AB50/AA50*7</f>
        <v>7</v>
      </c>
      <c r="AE50" s="64">
        <f>Y50*AD50*IF(Z50=年!$N$2,1,1/60)</f>
        <v>7</v>
      </c>
      <c r="AF50" s="64">
        <f>AF49-AE50</f>
        <v>104.16643835616441</v>
      </c>
      <c r="AG50" s="64">
        <f t="shared" si="16"/>
        <v>1</v>
      </c>
      <c r="AH50" s="133">
        <f t="shared" si="16"/>
        <v>14.880919765166343</v>
      </c>
      <c r="AI50" s="1" t="str">
        <f t="shared" si="17"/>
        <v>消费</v>
      </c>
      <c r="AJ50" s="152">
        <f>270/(30/3*2)</f>
        <v>13.5</v>
      </c>
      <c r="AK50" s="64">
        <f t="shared" si="18"/>
        <v>13.5</v>
      </c>
      <c r="AL50" s="64">
        <f t="shared" si="14"/>
        <v>0</v>
      </c>
      <c r="AM50" s="152">
        <v>0</v>
      </c>
      <c r="AN50" s="64" t="str">
        <f t="shared" si="15"/>
        <v/>
      </c>
    </row>
    <row r="51" spans="23:40" x14ac:dyDescent="0.2">
      <c r="W51" s="1" t="s">
        <v>293</v>
      </c>
      <c r="X51" s="1" t="s">
        <v>321</v>
      </c>
      <c r="Y51" s="1">
        <v>2</v>
      </c>
      <c r="Z51" s="1" t="s">
        <v>150</v>
      </c>
      <c r="AA51" s="1">
        <v>7</v>
      </c>
      <c r="AB51" s="1">
        <v>1</v>
      </c>
      <c r="AD51" s="1">
        <f t="shared" ref="AD51:AD67" si="19">AB51/AA51*7</f>
        <v>1</v>
      </c>
      <c r="AE51" s="64">
        <f>Y51*AD51*IF(Z51=年!$N$2,1,1/60)</f>
        <v>2</v>
      </c>
      <c r="AF51" s="64">
        <f t="shared" ref="AF51:AF66" si="20">AF50-AE51</f>
        <v>102.16643835616441</v>
      </c>
      <c r="AG51" s="64">
        <f t="shared" ref="AG51:AG66" si="21">AE51/7</f>
        <v>0.2857142857142857</v>
      </c>
      <c r="AH51" s="133">
        <f t="shared" ref="AH51:AH66" si="22">AF51/7</f>
        <v>14.595205479452058</v>
      </c>
      <c r="AI51" s="1" t="str">
        <f t="shared" si="17"/>
        <v>消费</v>
      </c>
      <c r="AJ51" s="145">
        <f>400/14</f>
        <v>28.571428571428573</v>
      </c>
      <c r="AK51" s="64">
        <f t="shared" si="18"/>
        <v>4.0816326530612246</v>
      </c>
      <c r="AL51" s="64">
        <f t="shared" si="14"/>
        <v>0</v>
      </c>
      <c r="AM51" s="1">
        <v>0</v>
      </c>
      <c r="AN51" s="64" t="str">
        <f t="shared" si="15"/>
        <v/>
      </c>
    </row>
    <row r="52" spans="23:40" x14ac:dyDescent="0.2">
      <c r="W52" s="1" t="s">
        <v>149</v>
      </c>
      <c r="X52" s="1" t="s">
        <v>274</v>
      </c>
      <c r="Y52" s="1">
        <v>2</v>
      </c>
      <c r="Z52" s="1" t="s">
        <v>152</v>
      </c>
      <c r="AA52" s="1">
        <v>7</v>
      </c>
      <c r="AB52" s="1">
        <v>1</v>
      </c>
      <c r="AD52" s="1">
        <f t="shared" si="19"/>
        <v>1</v>
      </c>
      <c r="AE52" s="64">
        <f>Y52*AD52*IF(Z52=年!$N$2,1,1/60)</f>
        <v>2</v>
      </c>
      <c r="AF52" s="64">
        <f t="shared" si="20"/>
        <v>100.16643835616441</v>
      </c>
      <c r="AG52" s="64">
        <f t="shared" si="21"/>
        <v>0.2857142857142857</v>
      </c>
      <c r="AH52" s="133">
        <f t="shared" si="22"/>
        <v>14.309491193737772</v>
      </c>
      <c r="AI52" s="1" t="str">
        <f t="shared" si="17"/>
        <v>消费</v>
      </c>
      <c r="AJ52" s="145">
        <f>200/(30/AA52)</f>
        <v>46.666666666666671</v>
      </c>
      <c r="AK52" s="64">
        <f t="shared" si="18"/>
        <v>6.666666666666667</v>
      </c>
      <c r="AL52" s="64">
        <f t="shared" ca="1" si="14"/>
        <v>6.666666666666667</v>
      </c>
      <c r="AM52" s="1">
        <f ca="1">IF(now!$P$27=年!$O$2,1,0)</f>
        <v>1</v>
      </c>
      <c r="AN52" s="64">
        <f t="shared" ca="1" si="15"/>
        <v>6.666666666666667</v>
      </c>
    </row>
    <row r="53" spans="23:40" x14ac:dyDescent="0.2">
      <c r="W53" s="1" t="s">
        <v>149</v>
      </c>
      <c r="X53" s="1" t="s">
        <v>275</v>
      </c>
      <c r="Y53" s="1">
        <v>4</v>
      </c>
      <c r="Z53" s="1" t="s">
        <v>152</v>
      </c>
      <c r="AA53" s="1">
        <v>30</v>
      </c>
      <c r="AB53" s="1">
        <v>1</v>
      </c>
      <c r="AD53" s="1">
        <f t="shared" si="19"/>
        <v>0.23333333333333334</v>
      </c>
      <c r="AE53" s="64">
        <f>Y53*AD53*IF(Z53=年!$N$2,1,1/60)</f>
        <v>0.93333333333333335</v>
      </c>
      <c r="AF53" s="64">
        <f t="shared" si="20"/>
        <v>99.233105022831069</v>
      </c>
      <c r="AG53" s="64">
        <f t="shared" si="21"/>
        <v>0.13333333333333333</v>
      </c>
      <c r="AH53" s="133">
        <f t="shared" si="22"/>
        <v>14.176157860404439</v>
      </c>
      <c r="AI53" s="1" t="str">
        <f t="shared" si="17"/>
        <v>消费</v>
      </c>
      <c r="AJ53" s="152">
        <f>480/3</f>
        <v>160</v>
      </c>
      <c r="AK53" s="64">
        <f t="shared" si="18"/>
        <v>5.333333333333333</v>
      </c>
      <c r="AL53" s="64">
        <f t="shared" ca="1" si="14"/>
        <v>5.333333333333333</v>
      </c>
      <c r="AM53" s="1">
        <f ca="1">IF(now!$P$27=年!$O$2,1,0)</f>
        <v>1</v>
      </c>
      <c r="AN53" s="64">
        <f t="shared" ca="1" si="15"/>
        <v>5.333333333333333</v>
      </c>
    </row>
    <row r="54" spans="23:40" x14ac:dyDescent="0.2">
      <c r="W54" s="1" t="s">
        <v>149</v>
      </c>
      <c r="X54" s="1" t="s">
        <v>270</v>
      </c>
      <c r="Y54" s="1">
        <v>2</v>
      </c>
      <c r="Z54" s="1" t="s">
        <v>152</v>
      </c>
      <c r="AA54" s="1">
        <v>60</v>
      </c>
      <c r="AB54" s="1">
        <v>1</v>
      </c>
      <c r="AD54" s="1">
        <f t="shared" si="19"/>
        <v>0.11666666666666667</v>
      </c>
      <c r="AE54" s="64">
        <f>Y54*AD54*IF(Z54=年!$N$2,1,1/60)</f>
        <v>0.23333333333333334</v>
      </c>
      <c r="AF54" s="64">
        <f t="shared" si="20"/>
        <v>98.999771689497734</v>
      </c>
      <c r="AG54" s="64">
        <f t="shared" si="21"/>
        <v>3.3333333333333333E-2</v>
      </c>
      <c r="AH54" s="133">
        <f t="shared" si="22"/>
        <v>14.142824527071104</v>
      </c>
      <c r="AI54" s="1" t="str">
        <f t="shared" si="17"/>
        <v>消费</v>
      </c>
      <c r="AJ54" s="152">
        <v>200</v>
      </c>
      <c r="AK54" s="64">
        <f t="shared" si="18"/>
        <v>3.3333333333333335</v>
      </c>
      <c r="AL54" s="64">
        <f t="shared" ca="1" si="14"/>
        <v>3.3333333333333335</v>
      </c>
      <c r="AM54" s="1">
        <f ca="1">IF(now!$P$27=年!$O$2,1,0)</f>
        <v>1</v>
      </c>
      <c r="AN54" s="64">
        <f t="shared" ca="1" si="15"/>
        <v>3.3333333333333335</v>
      </c>
    </row>
    <row r="55" spans="23:40" x14ac:dyDescent="0.2">
      <c r="W55" s="1" t="s">
        <v>149</v>
      </c>
      <c r="X55" s="1" t="s">
        <v>272</v>
      </c>
      <c r="Y55" s="1">
        <v>3</v>
      </c>
      <c r="Z55" s="1" t="s">
        <v>152</v>
      </c>
      <c r="AA55" s="1">
        <v>365</v>
      </c>
      <c r="AB55" s="1">
        <v>1</v>
      </c>
      <c r="AD55" s="1">
        <f t="shared" si="19"/>
        <v>1.9178082191780823E-2</v>
      </c>
      <c r="AE55" s="64">
        <f>Y55*AD55*IF(Z55=年!$N$2,1,1/60)</f>
        <v>5.7534246575342465E-2</v>
      </c>
      <c r="AF55" s="64">
        <f t="shared" si="20"/>
        <v>98.942237442922391</v>
      </c>
      <c r="AG55" s="64">
        <f t="shared" si="21"/>
        <v>8.21917808219178E-3</v>
      </c>
      <c r="AH55" s="133">
        <f t="shared" si="22"/>
        <v>14.134605348988913</v>
      </c>
      <c r="AI55" s="1" t="str">
        <f t="shared" si="17"/>
        <v>消费</v>
      </c>
      <c r="AJ55" s="152">
        <v>700</v>
      </c>
      <c r="AK55" s="64">
        <f t="shared" si="18"/>
        <v>1.9178082191780821</v>
      </c>
      <c r="AL55" s="64">
        <f t="shared" ca="1" si="14"/>
        <v>1.9178082191780821</v>
      </c>
      <c r="AM55" s="1">
        <f ca="1">IF(now!$P$27=年!$O$2,1,0)</f>
        <v>1</v>
      </c>
      <c r="AN55" s="64">
        <f t="shared" ca="1" si="15"/>
        <v>1.9178082191780821</v>
      </c>
    </row>
    <row r="56" spans="23:40" x14ac:dyDescent="0.2">
      <c r="W56" s="1" t="s">
        <v>293</v>
      </c>
      <c r="X56" s="1" t="s">
        <v>21</v>
      </c>
      <c r="Y56" s="1">
        <f>4*24</f>
        <v>96</v>
      </c>
      <c r="Z56" s="1" t="s">
        <v>152</v>
      </c>
      <c r="AA56" s="1">
        <v>60</v>
      </c>
      <c r="AB56" s="1">
        <v>1</v>
      </c>
      <c r="AD56" s="1">
        <f t="shared" si="19"/>
        <v>0.11666666666666667</v>
      </c>
      <c r="AE56" s="64">
        <f>Y56*AD56*IF(Z56=年!$N$2,1,1/60)</f>
        <v>11.2</v>
      </c>
      <c r="AF56" s="64">
        <f t="shared" si="20"/>
        <v>87.742237442922388</v>
      </c>
      <c r="AG56" s="64">
        <f t="shared" si="21"/>
        <v>1.5999999999999999</v>
      </c>
      <c r="AH56" s="133">
        <f t="shared" si="22"/>
        <v>12.534605348988913</v>
      </c>
      <c r="AI56" s="1" t="str">
        <f t="shared" si="17"/>
        <v>消费</v>
      </c>
      <c r="AJ56" s="152">
        <v>2500</v>
      </c>
      <c r="AK56" s="64">
        <f t="shared" si="18"/>
        <v>41.666666666666664</v>
      </c>
      <c r="AL56" s="64">
        <f t="shared" si="14"/>
        <v>0</v>
      </c>
      <c r="AM56" s="152">
        <v>0</v>
      </c>
      <c r="AN56" s="64" t="str">
        <f t="shared" si="15"/>
        <v/>
      </c>
    </row>
    <row r="57" spans="23:40" x14ac:dyDescent="0.2">
      <c r="W57" s="1" t="s">
        <v>149</v>
      </c>
      <c r="X57" s="89" t="s">
        <v>148</v>
      </c>
      <c r="Y57" s="1">
        <v>30</v>
      </c>
      <c r="Z57" s="1" t="s">
        <v>147</v>
      </c>
      <c r="AA57" s="1">
        <v>30</v>
      </c>
      <c r="AB57" s="1">
        <v>1</v>
      </c>
      <c r="AD57" s="1">
        <f t="shared" si="19"/>
        <v>0.23333333333333334</v>
      </c>
      <c r="AE57" s="64">
        <f>Y57*AD57*IF(Z57=年!$N$2,1,1/60)</f>
        <v>0.11666666666666667</v>
      </c>
      <c r="AF57" s="64">
        <f t="shared" si="20"/>
        <v>87.625570776255728</v>
      </c>
      <c r="AG57" s="64">
        <f t="shared" si="21"/>
        <v>1.6666666666666666E-2</v>
      </c>
      <c r="AH57" s="133">
        <f t="shared" si="22"/>
        <v>12.517938682322248</v>
      </c>
      <c r="AI57" s="1" t="str">
        <f t="shared" si="17"/>
        <v>:)</v>
      </c>
      <c r="AK57" s="64">
        <f t="shared" si="18"/>
        <v>0</v>
      </c>
      <c r="AL57" s="1">
        <f t="shared" si="14"/>
        <v>0</v>
      </c>
      <c r="AM57" s="152">
        <v>1</v>
      </c>
      <c r="AN57" s="64" t="str">
        <f t="shared" si="15"/>
        <v/>
      </c>
    </row>
    <row r="58" spans="23:40" x14ac:dyDescent="0.2">
      <c r="W58" s="1" t="s">
        <v>293</v>
      </c>
      <c r="X58" s="1" t="s">
        <v>153</v>
      </c>
      <c r="Y58" s="1">
        <v>1</v>
      </c>
      <c r="Z58" s="1" t="s">
        <v>152</v>
      </c>
      <c r="AA58" s="1">
        <v>60</v>
      </c>
      <c r="AB58" s="1">
        <v>1</v>
      </c>
      <c r="AD58" s="1">
        <f t="shared" si="19"/>
        <v>0.11666666666666667</v>
      </c>
      <c r="AE58" s="64">
        <f>Y58*AD58*IF(Z58=年!$N$2,1,1/60)</f>
        <v>0.11666666666666667</v>
      </c>
      <c r="AF58" s="64">
        <f t="shared" si="20"/>
        <v>87.508904109589068</v>
      </c>
      <c r="AG58" s="64">
        <f t="shared" si="21"/>
        <v>1.6666666666666666E-2</v>
      </c>
      <c r="AH58" s="133">
        <f t="shared" si="22"/>
        <v>12.501272015655582</v>
      </c>
      <c r="AI58" s="1" t="str">
        <f t="shared" si="17"/>
        <v>:)</v>
      </c>
      <c r="AK58" s="64">
        <f t="shared" si="18"/>
        <v>0</v>
      </c>
      <c r="AL58" s="64">
        <f t="shared" si="14"/>
        <v>0</v>
      </c>
      <c r="AM58" s="152">
        <v>1</v>
      </c>
      <c r="AN58" s="64" t="str">
        <f t="shared" si="15"/>
        <v/>
      </c>
    </row>
    <row r="59" spans="23:40" x14ac:dyDescent="0.2">
      <c r="W59" s="1" t="s">
        <v>293</v>
      </c>
      <c r="X59" s="1" t="s">
        <v>246</v>
      </c>
      <c r="Y59" s="1">
        <v>15</v>
      </c>
      <c r="Z59" s="1" t="s">
        <v>147</v>
      </c>
      <c r="AA59" s="1">
        <v>1</v>
      </c>
      <c r="AB59" s="1">
        <v>1</v>
      </c>
      <c r="AD59" s="1">
        <f t="shared" si="19"/>
        <v>7</v>
      </c>
      <c r="AE59" s="64">
        <f>Y59*AD59*IF(Z59=年!$N$2,1,1/60)</f>
        <v>1.75</v>
      </c>
      <c r="AF59" s="64">
        <f t="shared" si="20"/>
        <v>85.758904109589068</v>
      </c>
      <c r="AG59" s="64">
        <f t="shared" si="21"/>
        <v>0.25</v>
      </c>
      <c r="AH59" s="133">
        <f t="shared" si="22"/>
        <v>12.251272015655582</v>
      </c>
      <c r="AI59" s="1" t="str">
        <f t="shared" si="17"/>
        <v>:)</v>
      </c>
      <c r="AK59" s="64">
        <f t="shared" si="18"/>
        <v>0</v>
      </c>
      <c r="AL59" s="64">
        <f t="shared" si="14"/>
        <v>0</v>
      </c>
      <c r="AM59" s="152">
        <v>1</v>
      </c>
      <c r="AN59" s="64" t="str">
        <f t="shared" si="15"/>
        <v/>
      </c>
    </row>
    <row r="60" spans="23:40" x14ac:dyDescent="0.2">
      <c r="W60" s="1" t="s">
        <v>293</v>
      </c>
      <c r="X60" s="1" t="s">
        <v>245</v>
      </c>
      <c r="Y60" s="1">
        <v>30</v>
      </c>
      <c r="Z60" s="1" t="s">
        <v>147</v>
      </c>
      <c r="AA60" s="1">
        <v>7</v>
      </c>
      <c r="AB60" s="1">
        <v>1</v>
      </c>
      <c r="AD60" s="1">
        <f t="shared" si="19"/>
        <v>1</v>
      </c>
      <c r="AE60" s="64">
        <f>Y60*AD60*IF(Z60=年!$N$2,1,1/60)</f>
        <v>0.5</v>
      </c>
      <c r="AF60" s="64">
        <f t="shared" si="20"/>
        <v>85.258904109589068</v>
      </c>
      <c r="AG60" s="64">
        <f t="shared" si="21"/>
        <v>7.1428571428571425E-2</v>
      </c>
      <c r="AH60" s="133">
        <f t="shared" si="22"/>
        <v>12.179843444227009</v>
      </c>
      <c r="AI60" s="1" t="str">
        <f t="shared" si="17"/>
        <v>:)</v>
      </c>
      <c r="AK60" s="64">
        <f t="shared" si="18"/>
        <v>0</v>
      </c>
      <c r="AL60" s="64">
        <f t="shared" si="14"/>
        <v>0</v>
      </c>
      <c r="AM60" s="152">
        <v>1</v>
      </c>
      <c r="AN60" s="64" t="str">
        <f t="shared" si="15"/>
        <v/>
      </c>
    </row>
    <row r="61" spans="23:40" x14ac:dyDescent="0.2">
      <c r="W61" s="1" t="s">
        <v>149</v>
      </c>
      <c r="X61" s="1" t="s">
        <v>157</v>
      </c>
      <c r="Y61" s="1">
        <v>15</v>
      </c>
      <c r="Z61" s="1" t="s">
        <v>147</v>
      </c>
      <c r="AA61" s="1">
        <v>1</v>
      </c>
      <c r="AB61" s="1">
        <v>2</v>
      </c>
      <c r="AD61" s="1">
        <f t="shared" si="19"/>
        <v>14</v>
      </c>
      <c r="AE61" s="64">
        <f>Y61*AD61*IF(Z61=年!$N$2,1,1/60)</f>
        <v>3.5</v>
      </c>
      <c r="AF61" s="64">
        <f t="shared" si="20"/>
        <v>81.758904109589068</v>
      </c>
      <c r="AG61" s="64">
        <f t="shared" si="21"/>
        <v>0.5</v>
      </c>
      <c r="AH61" s="133">
        <f t="shared" si="22"/>
        <v>11.679843444227009</v>
      </c>
      <c r="AI61" s="1" t="str">
        <f t="shared" si="17"/>
        <v>:)</v>
      </c>
      <c r="AK61" s="64">
        <f t="shared" si="18"/>
        <v>0</v>
      </c>
      <c r="AL61" s="1">
        <f t="shared" si="14"/>
        <v>0</v>
      </c>
      <c r="AM61" s="152">
        <v>1</v>
      </c>
      <c r="AN61" s="64" t="str">
        <f t="shared" si="15"/>
        <v/>
      </c>
    </row>
    <row r="62" spans="23:40" x14ac:dyDescent="0.2">
      <c r="W62" s="1" t="s">
        <v>293</v>
      </c>
      <c r="X62" s="1" t="s">
        <v>151</v>
      </c>
      <c r="Y62" s="1">
        <v>30</v>
      </c>
      <c r="Z62" s="1" t="s">
        <v>147</v>
      </c>
      <c r="AA62" s="1">
        <v>1</v>
      </c>
      <c r="AB62" s="1">
        <v>1</v>
      </c>
      <c r="AD62" s="1">
        <f t="shared" si="19"/>
        <v>7</v>
      </c>
      <c r="AE62" s="64">
        <f>Y62*AD62*IF(Z62=年!$N$2,1,1/60)</f>
        <v>3.5</v>
      </c>
      <c r="AF62" s="64">
        <f t="shared" si="20"/>
        <v>78.258904109589068</v>
      </c>
      <c r="AG62" s="64">
        <f t="shared" si="21"/>
        <v>0.5</v>
      </c>
      <c r="AH62" s="133">
        <f t="shared" si="22"/>
        <v>11.179843444227009</v>
      </c>
      <c r="AI62" s="1" t="str">
        <f t="shared" si="17"/>
        <v>:)</v>
      </c>
      <c r="AK62" s="64">
        <f t="shared" si="18"/>
        <v>0</v>
      </c>
      <c r="AL62" s="64">
        <f t="shared" si="14"/>
        <v>0</v>
      </c>
      <c r="AM62" s="152">
        <v>1</v>
      </c>
      <c r="AN62" s="64" t="str">
        <f t="shared" si="15"/>
        <v/>
      </c>
    </row>
    <row r="63" spans="23:40" x14ac:dyDescent="0.2">
      <c r="W63" s="1" t="s">
        <v>293</v>
      </c>
      <c r="X63" s="1" t="s">
        <v>244</v>
      </c>
      <c r="Y63" s="1">
        <v>60</v>
      </c>
      <c r="Z63" s="1" t="s">
        <v>147</v>
      </c>
      <c r="AA63" s="1">
        <v>7</v>
      </c>
      <c r="AB63" s="1">
        <v>1</v>
      </c>
      <c r="AD63" s="1">
        <f t="shared" si="19"/>
        <v>1</v>
      </c>
      <c r="AE63" s="64">
        <f>Y63*AD63*IF(Z63=年!$N$2,1,1/60)</f>
        <v>1</v>
      </c>
      <c r="AF63" s="64">
        <f t="shared" si="20"/>
        <v>77.258904109589068</v>
      </c>
      <c r="AG63" s="64">
        <f t="shared" si="21"/>
        <v>0.14285714285714285</v>
      </c>
      <c r="AH63" s="133">
        <f t="shared" si="22"/>
        <v>11.036986301369867</v>
      </c>
      <c r="AI63" s="1" t="str">
        <f t="shared" si="17"/>
        <v>:)</v>
      </c>
      <c r="AK63" s="64">
        <f t="shared" si="18"/>
        <v>0</v>
      </c>
      <c r="AL63" s="64">
        <f t="shared" si="14"/>
        <v>0</v>
      </c>
      <c r="AM63" s="152">
        <v>1</v>
      </c>
      <c r="AN63" s="64" t="str">
        <f t="shared" si="15"/>
        <v/>
      </c>
    </row>
    <row r="64" spans="23:40" x14ac:dyDescent="0.2">
      <c r="W64" s="1" t="s">
        <v>149</v>
      </c>
      <c r="X64" s="1" t="s">
        <v>156</v>
      </c>
      <c r="Y64" s="1">
        <v>30</v>
      </c>
      <c r="Z64" s="1" t="s">
        <v>147</v>
      </c>
      <c r="AA64" s="1">
        <v>7</v>
      </c>
      <c r="AB64" s="1">
        <v>1</v>
      </c>
      <c r="AD64" s="1">
        <f t="shared" si="19"/>
        <v>1</v>
      </c>
      <c r="AE64" s="64">
        <f>Y64*AD64*IF(Z64=年!$N$2,1,1/60)</f>
        <v>0.5</v>
      </c>
      <c r="AF64" s="64">
        <f t="shared" si="20"/>
        <v>76.758904109589068</v>
      </c>
      <c r="AG64" s="64">
        <f t="shared" si="21"/>
        <v>7.1428571428571425E-2</v>
      </c>
      <c r="AH64" s="133">
        <f t="shared" si="22"/>
        <v>10.965557729941295</v>
      </c>
      <c r="AI64" s="1" t="str">
        <f t="shared" si="17"/>
        <v>:)</v>
      </c>
      <c r="AK64" s="64">
        <f t="shared" si="18"/>
        <v>0</v>
      </c>
      <c r="AL64" s="1">
        <f t="shared" si="14"/>
        <v>0</v>
      </c>
      <c r="AM64" s="152">
        <v>1</v>
      </c>
      <c r="AN64" s="64" t="str">
        <f t="shared" si="15"/>
        <v/>
      </c>
    </row>
    <row r="65" spans="23:40" x14ac:dyDescent="0.2">
      <c r="W65" s="1" t="s">
        <v>293</v>
      </c>
      <c r="X65" s="89" t="s">
        <v>181</v>
      </c>
      <c r="Y65" s="1">
        <v>10</v>
      </c>
      <c r="Z65" s="1" t="s">
        <v>147</v>
      </c>
      <c r="AA65" s="1">
        <v>1</v>
      </c>
      <c r="AB65" s="1">
        <v>1</v>
      </c>
      <c r="AD65" s="1">
        <f t="shared" si="19"/>
        <v>7</v>
      </c>
      <c r="AE65" s="64">
        <f>Y65*AD65*IF(Z65=年!$N$2,1,1/60)</f>
        <v>1.1666666666666667</v>
      </c>
      <c r="AF65" s="64">
        <f t="shared" si="20"/>
        <v>75.592237442922396</v>
      </c>
      <c r="AG65" s="64">
        <f t="shared" si="21"/>
        <v>0.16666666666666669</v>
      </c>
      <c r="AH65" s="133">
        <f t="shared" si="22"/>
        <v>10.798891063274628</v>
      </c>
      <c r="AI65" s="1" t="str">
        <f t="shared" si="17"/>
        <v>:)</v>
      </c>
      <c r="AK65" s="1">
        <f t="shared" si="18"/>
        <v>0</v>
      </c>
      <c r="AL65" s="64">
        <f t="shared" si="14"/>
        <v>0</v>
      </c>
      <c r="AM65" s="152">
        <v>1</v>
      </c>
      <c r="AN65" s="64" t="str">
        <f t="shared" si="15"/>
        <v/>
      </c>
    </row>
    <row r="66" spans="23:40" x14ac:dyDescent="0.2">
      <c r="W66" s="1" t="s">
        <v>149</v>
      </c>
      <c r="X66" s="1" t="s">
        <v>155</v>
      </c>
      <c r="Y66" s="1">
        <v>2</v>
      </c>
      <c r="Z66" s="1" t="s">
        <v>152</v>
      </c>
      <c r="AA66" s="1">
        <v>15</v>
      </c>
      <c r="AB66" s="1">
        <v>1</v>
      </c>
      <c r="AD66" s="1">
        <f t="shared" si="19"/>
        <v>0.46666666666666667</v>
      </c>
      <c r="AE66" s="64">
        <f>Y66*AD66*IF(Z66=年!$N$2,1,1/60)</f>
        <v>0.93333333333333335</v>
      </c>
      <c r="AF66" s="64">
        <f t="shared" si="20"/>
        <v>74.658904109589059</v>
      </c>
      <c r="AG66" s="64">
        <f t="shared" si="21"/>
        <v>0.13333333333333333</v>
      </c>
      <c r="AH66" s="133">
        <f t="shared" si="22"/>
        <v>10.665557729941295</v>
      </c>
      <c r="AI66" s="1" t="str">
        <f t="shared" si="17"/>
        <v>:)</v>
      </c>
      <c r="AK66" s="64">
        <f t="shared" si="18"/>
        <v>0</v>
      </c>
      <c r="AL66" s="1">
        <f t="shared" si="14"/>
        <v>0</v>
      </c>
      <c r="AM66" s="152">
        <v>1</v>
      </c>
      <c r="AN66" s="64" t="str">
        <f t="shared" si="15"/>
        <v/>
      </c>
    </row>
    <row r="67" spans="23:40" x14ac:dyDescent="0.2">
      <c r="W67" s="1" t="s">
        <v>158</v>
      </c>
      <c r="X67" s="1" t="s">
        <v>346</v>
      </c>
      <c r="Y67" s="64">
        <f>(12+7-8)*4/7*30</f>
        <v>188.57142857142856</v>
      </c>
      <c r="Z67" s="1" t="s">
        <v>152</v>
      </c>
      <c r="AA67" s="1">
        <v>30</v>
      </c>
      <c r="AB67" s="1">
        <v>1</v>
      </c>
      <c r="AD67" s="1">
        <f t="shared" si="19"/>
        <v>0.23333333333333334</v>
      </c>
      <c r="AI67" s="1" t="str">
        <f t="shared" si="17"/>
        <v>生活</v>
      </c>
      <c r="AJ67" s="152">
        <v>-4500</v>
      </c>
      <c r="AK67" s="1">
        <f t="shared" si="18"/>
        <v>-150</v>
      </c>
      <c r="AL67" s="1">
        <f t="shared" si="14"/>
        <v>0</v>
      </c>
      <c r="AM67" s="152">
        <v>0</v>
      </c>
      <c r="AN67" s="64" t="str">
        <f t="shared" si="15"/>
        <v/>
      </c>
    </row>
    <row r="68" spans="23:40" x14ac:dyDescent="0.2">
      <c r="AN68" s="1"/>
    </row>
    <row r="69" spans="23:40" x14ac:dyDescent="0.2">
      <c r="AN69" s="1"/>
    </row>
    <row r="70" spans="23:40" x14ac:dyDescent="0.2">
      <c r="AN70" s="1"/>
    </row>
    <row r="71" spans="23:40" x14ac:dyDescent="0.2">
      <c r="AN71" s="1"/>
    </row>
    <row r="72" spans="23:40" x14ac:dyDescent="0.2">
      <c r="AN72" s="1"/>
    </row>
    <row r="73" spans="23:40" x14ac:dyDescent="0.2">
      <c r="AN73" s="1"/>
    </row>
    <row r="74" spans="23:40" x14ac:dyDescent="0.2">
      <c r="AN74" s="1"/>
    </row>
    <row r="75" spans="23:40" x14ac:dyDescent="0.2">
      <c r="AN75" s="1"/>
    </row>
    <row r="76" spans="23:40" x14ac:dyDescent="0.2">
      <c r="AN76" s="1"/>
    </row>
    <row r="77" spans="23:40" x14ac:dyDescent="0.2">
      <c r="AN77" s="1"/>
    </row>
    <row r="78" spans="23:40" x14ac:dyDescent="0.2">
      <c r="AN78" s="1"/>
    </row>
    <row r="79" spans="23:40" x14ac:dyDescent="0.2">
      <c r="AN79" s="1"/>
    </row>
    <row r="80" spans="23:40" x14ac:dyDescent="0.2">
      <c r="AN80" s="1"/>
    </row>
    <row r="81" spans="40:40" x14ac:dyDescent="0.2">
      <c r="AN81" s="1"/>
    </row>
    <row r="82" spans="40:40" x14ac:dyDescent="0.2">
      <c r="AN82" s="1"/>
    </row>
    <row r="83" spans="40:40" x14ac:dyDescent="0.2">
      <c r="AN83" s="1"/>
    </row>
    <row r="84" spans="40:40" x14ac:dyDescent="0.2">
      <c r="AN84" s="1"/>
    </row>
    <row r="85" spans="40:40" x14ac:dyDescent="0.2">
      <c r="AN85" s="1"/>
    </row>
    <row r="86" spans="40:40" x14ac:dyDescent="0.2">
      <c r="AN86" s="1"/>
    </row>
    <row r="87" spans="40:40" x14ac:dyDescent="0.2">
      <c r="AN87" s="1"/>
    </row>
    <row r="88" spans="40:40" x14ac:dyDescent="0.2">
      <c r="AN88" s="1"/>
    </row>
    <row r="89" spans="40:40" x14ac:dyDescent="0.2">
      <c r="AN89" s="1"/>
    </row>
    <row r="90" spans="40:40" x14ac:dyDescent="0.2">
      <c r="AN90" s="1"/>
    </row>
    <row r="91" spans="40:40" x14ac:dyDescent="0.2">
      <c r="AN91" s="1"/>
    </row>
    <row r="92" spans="40:40" x14ac:dyDescent="0.2">
      <c r="AN92" s="1"/>
    </row>
    <row r="93" spans="40:40" x14ac:dyDescent="0.2">
      <c r="AN93" s="1"/>
    </row>
    <row r="94" spans="40:40" x14ac:dyDescent="0.2">
      <c r="AN94" s="1"/>
    </row>
    <row r="95" spans="40:40" x14ac:dyDescent="0.2">
      <c r="AN95" s="1"/>
    </row>
    <row r="96" spans="40:40" x14ac:dyDescent="0.2">
      <c r="AN96" s="1"/>
    </row>
    <row r="97" spans="40:40" x14ac:dyDescent="0.2">
      <c r="AN97" s="1"/>
    </row>
    <row r="98" spans="40:40" x14ac:dyDescent="0.2">
      <c r="AN98" s="1"/>
    </row>
    <row r="99" spans="40:40" x14ac:dyDescent="0.2">
      <c r="AN99" s="1"/>
    </row>
    <row r="100" spans="40:40" x14ac:dyDescent="0.2">
      <c r="AN100" s="1"/>
    </row>
    <row r="101" spans="40:40" x14ac:dyDescent="0.2">
      <c r="AN101" s="1"/>
    </row>
    <row r="102" spans="40:40" x14ac:dyDescent="0.2">
      <c r="AN102" s="1"/>
    </row>
    <row r="103" spans="40:40" x14ac:dyDescent="0.2">
      <c r="AN103" s="1"/>
    </row>
    <row r="104" spans="40:40" x14ac:dyDescent="0.2">
      <c r="AN104" s="1"/>
    </row>
    <row r="105" spans="40:40" x14ac:dyDescent="0.2">
      <c r="AN105" s="1"/>
    </row>
    <row r="106" spans="40:40" x14ac:dyDescent="0.2">
      <c r="AN106" s="1"/>
    </row>
    <row r="107" spans="40:40" x14ac:dyDescent="0.2">
      <c r="AN107" s="1"/>
    </row>
    <row r="108" spans="40:40" x14ac:dyDescent="0.2">
      <c r="AN108" s="1"/>
    </row>
    <row r="109" spans="40:40" x14ac:dyDescent="0.2">
      <c r="AN109" s="1"/>
    </row>
    <row r="110" spans="40:40" x14ac:dyDescent="0.2">
      <c r="AN110" s="1"/>
    </row>
    <row r="111" spans="40:40" x14ac:dyDescent="0.2">
      <c r="AN111" s="1"/>
    </row>
    <row r="112" spans="40:40" x14ac:dyDescent="0.2">
      <c r="AN112" s="1"/>
    </row>
    <row r="113" spans="40:40" x14ac:dyDescent="0.2">
      <c r="AN113" s="1"/>
    </row>
    <row r="114" spans="40:40" x14ac:dyDescent="0.2">
      <c r="AN114" s="1"/>
    </row>
    <row r="115" spans="40:40" x14ac:dyDescent="0.2">
      <c r="AN115" s="1"/>
    </row>
    <row r="116" spans="40:40" x14ac:dyDescent="0.2">
      <c r="AN116" s="1"/>
    </row>
    <row r="117" spans="40:40" x14ac:dyDescent="0.2">
      <c r="AN117" s="1"/>
    </row>
  </sheetData>
  <autoFilter ref="W34:AN34" xr:uid="{1C9EFAE9-A153-41EB-94BD-072044693328}"/>
  <mergeCells count="1">
    <mergeCell ref="Q27:R27"/>
  </mergeCells>
  <phoneticPr fontId="4" type="noConversion"/>
  <conditionalFormatting sqref="V17">
    <cfRule type="cellIs" dxfId="114" priority="47" operator="between">
      <formula>-0.5</formula>
      <formula>0.5</formula>
    </cfRule>
  </conditionalFormatting>
  <conditionalFormatting sqref="V16">
    <cfRule type="containsText" dxfId="113" priority="55" operator="containsText" text="债">
      <formula>NOT(ISERROR(SEARCH("债",V16)))</formula>
    </cfRule>
    <cfRule type="containsText" dxfId="112" priority="56" operator="containsText" text="理财">
      <formula>NOT(ISERROR(SEARCH("理财",V16)))</formula>
    </cfRule>
  </conditionalFormatting>
  <conditionalFormatting sqref="AO43">
    <cfRule type="expression" dxfId="111" priority="48">
      <formula>$AO$42&lt;0.5</formula>
    </cfRule>
  </conditionalFormatting>
  <conditionalFormatting sqref="AP43 AR43">
    <cfRule type="cellIs" dxfId="110" priority="43" operator="between">
      <formula>-0.5</formula>
      <formula>0.5</formula>
    </cfRule>
    <cfRule type="expression" dxfId="109" priority="44">
      <formula>$I$37=$I$38</formula>
    </cfRule>
  </conditionalFormatting>
  <conditionalFormatting sqref="J16:J22 AI32:AI67">
    <cfRule type="containsText" dxfId="108" priority="38" operator="containsText" text="s">
      <formula>NOT(ISERROR(SEARCH("s",J16)))</formula>
    </cfRule>
    <cfRule type="containsText" dxfId="107" priority="39" operator="containsText" text="活">
      <formula>NOT(ISERROR(SEARCH("活",J16)))</formula>
    </cfRule>
    <cfRule type="containsText" dxfId="106" priority="40" operator="containsText" text="消">
      <formula>NOT(ISERROR(SEARCH("消",J16)))</formula>
    </cfRule>
    <cfRule type="containsText" dxfId="105" priority="41" operator="containsText" text="课">
      <formula>NOT(ISERROR(SEARCH("课",J16)))</formula>
    </cfRule>
  </conditionalFormatting>
  <conditionalFormatting sqref="AO42">
    <cfRule type="cellIs" dxfId="104" priority="639" operator="lessThan">
      <formula>0.5</formula>
    </cfRule>
    <cfRule type="cellIs" dxfId="103" priority="640" operator="greaterThanOrEqual">
      <formula>0.5</formula>
    </cfRule>
    <cfRule type="expression" dxfId="102" priority="641">
      <formula>#REF!=AR42</formula>
    </cfRule>
  </conditionalFormatting>
  <conditionalFormatting sqref="AP42">
    <cfRule type="expression" dxfId="101" priority="642">
      <formula>AP42&lt;AP43</formula>
    </cfRule>
  </conditionalFormatting>
  <conditionalFormatting sqref="AQ42:AR42">
    <cfRule type="expression" dxfId="100" priority="643">
      <formula>AND(AO42=AO43,AQ42&lt;AQ43)</formula>
    </cfRule>
  </conditionalFormatting>
  <conditionalFormatting sqref="AS42">
    <cfRule type="expression" dxfId="99" priority="644">
      <formula>AND(AR42=AR43,AS42&lt;AS43)</formula>
    </cfRule>
  </conditionalFormatting>
  <conditionalFormatting sqref="J27:K30 W33:W1048576">
    <cfRule type="containsText" dxfId="98" priority="18" operator="containsText" text="学">
      <formula>NOT(ISERROR(SEARCH("学",J27)))</formula>
    </cfRule>
    <cfRule type="containsText" dxfId="97" priority="19" operator="containsText" text="活">
      <formula>NOT(ISERROR(SEARCH("活",J27)))</formula>
    </cfRule>
    <cfRule type="containsText" dxfId="96" priority="20" operator="containsText" text="玩">
      <formula>NOT(ISERROR(SEARCH("玩",J27)))</formula>
    </cfRule>
    <cfRule type="containsText" dxfId="95" priority="21" operator="containsText" text="课">
      <formula>NOT(ISERROR(SEARCH("课",J27)))</formula>
    </cfRule>
  </conditionalFormatting>
  <conditionalFormatting sqref="L29:L30">
    <cfRule type="cellIs" dxfId="94" priority="22" operator="between">
      <formula>$AS51-0.03</formula>
      <formula>$AS51+0.03</formula>
    </cfRule>
  </conditionalFormatting>
  <conditionalFormatting sqref="AL32:AL66">
    <cfRule type="cellIs" dxfId="93" priority="7" operator="lessThan">
      <formula>0</formula>
    </cfRule>
    <cfRule type="cellIs" dxfId="92" priority="8" operator="greaterThan">
      <formula>0</formula>
    </cfRule>
  </conditionalFormatting>
  <conditionalFormatting sqref="AN32">
    <cfRule type="expression" dxfId="91" priority="650">
      <formula>$P7&lt;0</formula>
    </cfRule>
    <cfRule type="expression" dxfId="90" priority="651">
      <formula>$P7&gt;0</formula>
    </cfRule>
  </conditionalFormatting>
  <conditionalFormatting sqref="L28:L30">
    <cfRule type="cellIs" dxfId="89" priority="656" operator="greaterThan">
      <formula>#REF!</formula>
    </cfRule>
  </conditionalFormatting>
  <conditionalFormatting sqref="AN35:AN67">
    <cfRule type="expression" dxfId="88" priority="705">
      <formula>AL35&lt;0</formula>
    </cfRule>
    <cfRule type="expression" dxfId="87" priority="706">
      <formula>AL35&gt;0</formula>
    </cfRule>
  </conditionalFormatting>
  <conditionalFormatting sqref="M31">
    <cfRule type="cellIs" dxfId="86" priority="1" operator="greaterThan">
      <formula>0</formula>
    </cfRule>
    <cfRule type="cellIs" dxfId="85" priority="2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EE2FA-C58B-4894-A750-7F7835DB07F4}">
  <sheetPr codeName="Sheet33"/>
  <dimension ref="A1:W56"/>
  <sheetViews>
    <sheetView workbookViewId="0">
      <selection activeCell="O16" sqref="O16"/>
    </sheetView>
  </sheetViews>
  <sheetFormatPr defaultColWidth="8.75" defaultRowHeight="14.85" customHeight="1" x14ac:dyDescent="0.2"/>
  <cols>
    <col min="1" max="1" width="10" style="43" customWidth="1"/>
    <col min="2" max="2" width="14.25" style="43" customWidth="1"/>
    <col min="3" max="3" width="9.875" style="43" customWidth="1"/>
    <col min="4" max="4" width="5.375" style="43" customWidth="1"/>
    <col min="5" max="5" width="9" style="43" customWidth="1"/>
    <col min="6" max="6" width="7.75" style="43" customWidth="1"/>
    <col min="7" max="7" width="15.25" style="332" hidden="1" customWidth="1"/>
    <col min="8" max="8" width="8.5" style="332" hidden="1" customWidth="1"/>
    <col min="9" max="9" width="8.5" style="43" hidden="1" customWidth="1"/>
    <col min="10" max="10" width="10.5" style="332" customWidth="1"/>
    <col min="11" max="13" width="10.5" style="43" customWidth="1"/>
    <col min="14" max="14" width="8.75" style="43"/>
    <col min="15" max="15" width="9.5" style="43" bestFit="1" customWidth="1"/>
    <col min="16" max="16" width="11.75" style="43" bestFit="1" customWidth="1"/>
    <col min="17" max="16384" width="8.75" style="43"/>
  </cols>
  <sheetData>
    <row r="1" spans="1:16" ht="23.85" customHeight="1" thickBot="1" x14ac:dyDescent="0.25">
      <c r="A1" s="407" t="s">
        <v>340</v>
      </c>
      <c r="B1" s="407"/>
      <c r="C1" s="407"/>
      <c r="D1" s="407"/>
      <c r="E1" s="407"/>
      <c r="F1" s="407"/>
      <c r="G1" s="333"/>
      <c r="H1" s="334"/>
      <c r="I1" s="205"/>
      <c r="J1" s="43" t="s">
        <v>16</v>
      </c>
      <c r="K1" s="95">
        <f>B3+B5+B6+B7</f>
        <v>3077.9500000000003</v>
      </c>
      <c r="L1" s="43" t="s">
        <v>267</v>
      </c>
      <c r="M1" s="95">
        <f>B5+B6+B7+D4</f>
        <v>2546.0500000000002</v>
      </c>
    </row>
    <row r="2" spans="1:16" ht="14.85" hidden="1" customHeight="1" x14ac:dyDescent="0.2">
      <c r="A2" s="268" t="s">
        <v>5</v>
      </c>
      <c r="B2" s="335">
        <f>B9</f>
        <v>6487.86</v>
      </c>
      <c r="C2" s="336" t="s">
        <v>29</v>
      </c>
      <c r="D2" s="337">
        <f>B10</f>
        <v>5929.28</v>
      </c>
      <c r="E2" s="43" t="s">
        <v>235</v>
      </c>
      <c r="F2" s="64">
        <f>F9</f>
        <v>12843.62</v>
      </c>
      <c r="G2" s="408" t="s">
        <v>139</v>
      </c>
      <c r="H2" s="409">
        <f ca="1">F3/F2/30*365*100</f>
        <v>-102.41085976279798</v>
      </c>
      <c r="I2" s="410" t="s">
        <v>62</v>
      </c>
    </row>
    <row r="3" spans="1:16" ht="14.85" hidden="1" customHeight="1" thickBot="1" x14ac:dyDescent="0.25">
      <c r="A3" s="227" t="s">
        <v>198</v>
      </c>
      <c r="B3" s="64">
        <f>B11</f>
        <v>531.9</v>
      </c>
      <c r="C3" s="222" t="s">
        <v>86</v>
      </c>
      <c r="D3" s="64">
        <f>D11</f>
        <v>2851.33</v>
      </c>
      <c r="E3" s="43" t="s">
        <v>236</v>
      </c>
      <c r="F3" s="84" cm="1">
        <f t="array" aca="1" ref="F3" ca="1">F4-NxtSheet(F4)</f>
        <v>-1081.0900000000006</v>
      </c>
      <c r="G3" s="408"/>
      <c r="H3" s="409"/>
      <c r="I3" s="410"/>
      <c r="J3" s="228"/>
      <c r="K3" s="228"/>
    </row>
    <row r="4" spans="1:16" ht="14.85" hidden="1" customHeight="1" thickBot="1" x14ac:dyDescent="0.25">
      <c r="A4" s="227" t="s">
        <v>225</v>
      </c>
      <c r="B4" s="64">
        <f>(B6+B7)</f>
        <v>2546.0500000000002</v>
      </c>
      <c r="C4" s="222" t="s">
        <v>197</v>
      </c>
      <c r="D4" s="64">
        <f>K4</f>
        <v>0</v>
      </c>
      <c r="E4" s="43" t="s">
        <v>189</v>
      </c>
      <c r="F4" s="95">
        <f>D9</f>
        <v>3493.93</v>
      </c>
      <c r="G4" s="375"/>
      <c r="H4" s="375"/>
      <c r="I4" s="411"/>
      <c r="J4" s="228" t="s">
        <v>281</v>
      </c>
      <c r="K4" s="257"/>
    </row>
    <row r="5" spans="1:16" ht="14.85" hidden="1" customHeight="1" thickBot="1" x14ac:dyDescent="0.25">
      <c r="A5" s="229" t="s">
        <v>131</v>
      </c>
      <c r="B5" s="64"/>
      <c r="C5" s="223" t="s">
        <v>196</v>
      </c>
      <c r="D5" s="64">
        <f>D6+D7</f>
        <v>0</v>
      </c>
      <c r="E5" s="226" t="s">
        <v>283</v>
      </c>
      <c r="F5" s="255"/>
      <c r="G5" s="376"/>
      <c r="H5" s="376"/>
      <c r="I5" s="412"/>
      <c r="K5" s="95"/>
    </row>
    <row r="6" spans="1:16" ht="14.85" hidden="1" customHeight="1" x14ac:dyDescent="0.2">
      <c r="A6" s="231" t="s">
        <v>138</v>
      </c>
      <c r="B6" s="199">
        <f>B13</f>
        <v>2546.0500000000002</v>
      </c>
      <c r="C6" s="226" t="s">
        <v>248</v>
      </c>
      <c r="D6" s="266">
        <f>K3</f>
        <v>0</v>
      </c>
      <c r="E6" s="43" t="s">
        <v>254</v>
      </c>
      <c r="F6" s="95">
        <f>IF((30-B8-F10)&lt;=0,0,F7/(30-B8-F10))</f>
        <v>2.6896666666666667</v>
      </c>
    </row>
    <row r="7" spans="1:16" ht="14.85" hidden="1" customHeight="1" x14ac:dyDescent="0.2">
      <c r="A7" s="234" t="s">
        <v>249</v>
      </c>
      <c r="B7" s="95">
        <f>B14</f>
        <v>0</v>
      </c>
      <c r="C7" s="1" t="s">
        <v>196</v>
      </c>
      <c r="D7" s="263">
        <f>F5</f>
        <v>0</v>
      </c>
      <c r="E7" s="43" t="s">
        <v>252</v>
      </c>
      <c r="F7" s="95">
        <f>B15</f>
        <v>80.69</v>
      </c>
    </row>
    <row r="8" spans="1:16" ht="14.85" hidden="1" customHeight="1" thickBot="1" x14ac:dyDescent="0.25">
      <c r="A8" s="234" t="s">
        <v>226</v>
      </c>
      <c r="B8" s="1">
        <f>D10</f>
        <v>0</v>
      </c>
      <c r="C8" s="405" t="str">
        <f>IF(ABS(D2-B3-B5-D3-D4-D5-B6-B7)&lt;0.01,"",D2-B3-B5-D3-D4-D5-B6-B7)</f>
        <v/>
      </c>
      <c r="D8" s="406"/>
    </row>
    <row r="9" spans="1:16" ht="14.85" customHeight="1" x14ac:dyDescent="0.2">
      <c r="A9" s="231" t="s">
        <v>59</v>
      </c>
      <c r="B9" s="255">
        <v>6487.86</v>
      </c>
      <c r="C9" s="226" t="s">
        <v>309</v>
      </c>
      <c r="D9" s="255">
        <v>3493.93</v>
      </c>
      <c r="E9" s="226" t="s">
        <v>328</v>
      </c>
      <c r="F9" s="244">
        <v>12843.62</v>
      </c>
      <c r="J9" s="43" t="s">
        <v>86</v>
      </c>
      <c r="K9" s="95">
        <f>D3</f>
        <v>2851.33</v>
      </c>
      <c r="L9" s="43" t="s">
        <v>210</v>
      </c>
      <c r="M9" s="95">
        <f>D2-M1</f>
        <v>3383.2299999999996</v>
      </c>
      <c r="N9" s="43" t="s">
        <v>279</v>
      </c>
      <c r="O9" s="95">
        <f>B6+B7+B5</f>
        <v>2546.0500000000002</v>
      </c>
    </row>
    <row r="10" spans="1:16" ht="14.85" customHeight="1" thickBot="1" x14ac:dyDescent="0.25">
      <c r="A10" s="236" t="s">
        <v>70</v>
      </c>
      <c r="B10" s="257">
        <v>5929.28</v>
      </c>
      <c r="C10" s="228" t="s">
        <v>226</v>
      </c>
      <c r="D10" s="254">
        <v>0</v>
      </c>
      <c r="E10" s="228" t="s">
        <v>292</v>
      </c>
      <c r="F10" s="272">
        <v>0</v>
      </c>
      <c r="J10" s="43"/>
      <c r="K10" s="95"/>
      <c r="L10" s="279"/>
      <c r="N10" s="43" t="s">
        <v>236</v>
      </c>
      <c r="O10" s="370">
        <f ca="1">F3</f>
        <v>-1081.0900000000006</v>
      </c>
      <c r="P10" s="315">
        <f ca="1">H2/12/100</f>
        <v>-8.5342383135664987E-2</v>
      </c>
    </row>
    <row r="11" spans="1:16" ht="14.85" customHeight="1" x14ac:dyDescent="0.2">
      <c r="A11" s="231" t="s">
        <v>282</v>
      </c>
      <c r="B11" s="255">
        <v>531.9</v>
      </c>
      <c r="C11" s="226" t="s">
        <v>86</v>
      </c>
      <c r="D11" s="244">
        <v>2851.33</v>
      </c>
      <c r="L11" s="279"/>
      <c r="N11" s="43" t="s">
        <v>30</v>
      </c>
      <c r="O11" s="370">
        <f>B2-D2</f>
        <v>558.57999999999993</v>
      </c>
      <c r="P11" s="331"/>
    </row>
    <row r="12" spans="1:16" ht="14.85" hidden="1" customHeight="1" thickBot="1" x14ac:dyDescent="0.25">
      <c r="A12" s="236"/>
      <c r="B12" s="256"/>
      <c r="D12" s="273"/>
      <c r="L12" s="279"/>
    </row>
    <row r="13" spans="1:16" ht="14.85" customHeight="1" thickBot="1" x14ac:dyDescent="0.25">
      <c r="A13" s="236" t="s">
        <v>279</v>
      </c>
      <c r="B13" s="257">
        <v>2546.0500000000002</v>
      </c>
      <c r="C13" s="228"/>
      <c r="D13" s="274" t="str">
        <f>C8</f>
        <v/>
      </c>
      <c r="L13" s="279"/>
      <c r="N13" s="43" t="s">
        <v>318</v>
      </c>
      <c r="O13" s="95">
        <f>O11+B11+B13</f>
        <v>3636.53</v>
      </c>
    </row>
    <row r="14" spans="1:16" ht="14.85" hidden="1" customHeight="1" x14ac:dyDescent="0.2">
      <c r="B14" s="95"/>
      <c r="L14" s="279"/>
    </row>
    <row r="15" spans="1:16" ht="14.85" customHeight="1" x14ac:dyDescent="0.2">
      <c r="A15" s="43" t="s">
        <v>252</v>
      </c>
      <c r="B15" s="242">
        <v>80.69</v>
      </c>
      <c r="L15" s="279"/>
    </row>
    <row r="16" spans="1:16" ht="14.85" customHeight="1" x14ac:dyDescent="0.2">
      <c r="D16" s="7"/>
      <c r="K16" s="332"/>
      <c r="L16" s="279"/>
    </row>
    <row r="17" spans="1:12" ht="14.85" customHeight="1" x14ac:dyDescent="0.2">
      <c r="A17" s="43" t="s">
        <v>86</v>
      </c>
      <c r="B17" s="338" t="s">
        <v>341</v>
      </c>
      <c r="C17" s="339">
        <f>1461.15-301</f>
        <v>1160.1500000000001</v>
      </c>
      <c r="D17" s="7" t="s">
        <v>353</v>
      </c>
    </row>
    <row r="18" spans="1:12" ht="14.85" customHeight="1" x14ac:dyDescent="0.2">
      <c r="A18" s="43" t="s">
        <v>86</v>
      </c>
      <c r="B18" s="332" t="s">
        <v>347</v>
      </c>
      <c r="C18" s="339">
        <v>480</v>
      </c>
      <c r="D18" s="7"/>
      <c r="K18" s="339"/>
      <c r="L18" s="279"/>
    </row>
    <row r="19" spans="1:12" ht="14.85" customHeight="1" x14ac:dyDescent="0.2">
      <c r="A19" s="43" t="s">
        <v>16</v>
      </c>
      <c r="B19" s="332" t="s">
        <v>313</v>
      </c>
      <c r="C19" s="339">
        <v>715.5</v>
      </c>
      <c r="D19" s="7" t="s">
        <v>348</v>
      </c>
    </row>
    <row r="20" spans="1:12" ht="14.85" customHeight="1" x14ac:dyDescent="0.2">
      <c r="A20" s="43" t="s">
        <v>86</v>
      </c>
      <c r="B20" s="332" t="s">
        <v>349</v>
      </c>
      <c r="C20" s="339">
        <v>423</v>
      </c>
      <c r="D20" s="7"/>
    </row>
    <row r="21" spans="1:12" ht="14.85" customHeight="1" x14ac:dyDescent="0.2">
      <c r="A21" s="43" t="s">
        <v>16</v>
      </c>
      <c r="B21" s="332" t="s">
        <v>350</v>
      </c>
      <c r="C21" s="339">
        <v>355</v>
      </c>
      <c r="D21" s="7"/>
      <c r="E21" s="332"/>
      <c r="H21" s="43"/>
      <c r="J21" s="43"/>
    </row>
    <row r="22" spans="1:12" ht="14.85" customHeight="1" x14ac:dyDescent="0.2">
      <c r="A22" s="43" t="s">
        <v>86</v>
      </c>
      <c r="B22" s="332" t="s">
        <v>351</v>
      </c>
      <c r="C22" s="339">
        <v>348.56</v>
      </c>
      <c r="D22" s="7"/>
      <c r="E22" s="332"/>
      <c r="H22" s="43"/>
      <c r="J22" s="43"/>
    </row>
    <row r="23" spans="1:12" ht="14.85" customHeight="1" x14ac:dyDescent="0.2">
      <c r="A23" s="43" t="s">
        <v>86</v>
      </c>
      <c r="B23" s="332" t="s">
        <v>352</v>
      </c>
      <c r="C23" s="339">
        <v>265.95</v>
      </c>
      <c r="D23" s="7"/>
      <c r="E23" s="332"/>
      <c r="H23" s="43"/>
      <c r="J23" s="43"/>
    </row>
    <row r="24" spans="1:12" ht="14.85" customHeight="1" x14ac:dyDescent="0.2">
      <c r="A24" s="43" t="s">
        <v>86</v>
      </c>
      <c r="B24" s="332" t="s">
        <v>354</v>
      </c>
      <c r="C24" s="339">
        <v>257</v>
      </c>
      <c r="D24" s="7"/>
      <c r="E24" s="332"/>
      <c r="H24" s="43"/>
      <c r="J24" s="43"/>
    </row>
    <row r="25" spans="1:12" ht="14.85" customHeight="1" x14ac:dyDescent="0.2">
      <c r="B25" s="332"/>
      <c r="C25" s="339"/>
      <c r="D25" s="7"/>
      <c r="E25" s="332"/>
      <c r="H25" s="43"/>
      <c r="J25" s="43"/>
    </row>
    <row r="26" spans="1:12" ht="14.85" customHeight="1" x14ac:dyDescent="0.2">
      <c r="B26" s="332"/>
      <c r="C26" s="339"/>
      <c r="D26" s="7"/>
    </row>
    <row r="27" spans="1:12" ht="14.85" customHeight="1" x14ac:dyDescent="0.2">
      <c r="B27" s="332"/>
      <c r="C27" s="339"/>
      <c r="D27" s="7"/>
    </row>
    <row r="28" spans="1:12" ht="14.85" customHeight="1" x14ac:dyDescent="0.2">
      <c r="B28" s="332"/>
      <c r="C28" s="339"/>
      <c r="D28" s="7"/>
    </row>
    <row r="29" spans="1:12" ht="14.85" customHeight="1" x14ac:dyDescent="0.2">
      <c r="B29" s="332"/>
      <c r="C29" s="339"/>
      <c r="D29" s="7"/>
    </row>
    <row r="30" spans="1:12" ht="14.85" customHeight="1" x14ac:dyDescent="0.2">
      <c r="D30" s="7"/>
    </row>
    <row r="31" spans="1:12" ht="14.85" customHeight="1" x14ac:dyDescent="0.2">
      <c r="D31" s="7"/>
    </row>
    <row r="32" spans="1:12" ht="14.85" customHeight="1" x14ac:dyDescent="0.2">
      <c r="D32" s="7"/>
    </row>
    <row r="33" spans="4:23" ht="14.85" customHeight="1" x14ac:dyDescent="0.2">
      <c r="D33" s="7"/>
    </row>
    <row r="34" spans="4:23" ht="14.85" customHeight="1" x14ac:dyDescent="0.2">
      <c r="D34" s="7"/>
    </row>
    <row r="35" spans="4:23" ht="14.85" customHeight="1" x14ac:dyDescent="0.2">
      <c r="D35" s="7"/>
    </row>
    <row r="36" spans="4:23" ht="14.85" customHeight="1" x14ac:dyDescent="0.2">
      <c r="D36" s="7"/>
    </row>
    <row r="37" spans="4:23" ht="14.85" customHeight="1" x14ac:dyDescent="0.2">
      <c r="D37" s="7"/>
      <c r="W37" s="43" t="s">
        <v>277</v>
      </c>
    </row>
    <row r="38" spans="4:23" ht="14.85" customHeight="1" x14ac:dyDescent="0.2">
      <c r="D38" s="7"/>
    </row>
    <row r="39" spans="4:23" ht="14.85" customHeight="1" x14ac:dyDescent="0.2">
      <c r="D39" s="7"/>
    </row>
    <row r="40" spans="4:23" ht="14.85" customHeight="1" x14ac:dyDescent="0.2">
      <c r="D40" s="7"/>
    </row>
    <row r="41" spans="4:23" ht="14.85" customHeight="1" x14ac:dyDescent="0.2">
      <c r="D41" s="7"/>
    </row>
    <row r="42" spans="4:23" ht="14.85" customHeight="1" x14ac:dyDescent="0.2">
      <c r="D42" s="7"/>
    </row>
    <row r="43" spans="4:23" ht="14.85" customHeight="1" x14ac:dyDescent="0.2">
      <c r="D43" s="7"/>
    </row>
    <row r="44" spans="4:23" ht="14.85" customHeight="1" x14ac:dyDescent="0.2">
      <c r="D44" s="7"/>
    </row>
    <row r="45" spans="4:23" ht="14.85" customHeight="1" x14ac:dyDescent="0.2">
      <c r="D45" s="7"/>
    </row>
    <row r="46" spans="4:23" ht="14.85" customHeight="1" x14ac:dyDescent="0.2">
      <c r="D46" s="7"/>
    </row>
    <row r="47" spans="4:23" ht="14.85" customHeight="1" x14ac:dyDescent="0.2">
      <c r="D47" s="7"/>
    </row>
    <row r="48" spans="4:23" ht="14.85" customHeight="1" x14ac:dyDescent="0.2">
      <c r="D48" s="7"/>
    </row>
    <row r="49" spans="3:4" ht="14.85" customHeight="1" x14ac:dyDescent="0.2">
      <c r="D49" s="7"/>
    </row>
    <row r="50" spans="3:4" ht="14.85" customHeight="1" x14ac:dyDescent="0.2">
      <c r="D50" s="7"/>
    </row>
    <row r="51" spans="3:4" ht="14.85" customHeight="1" x14ac:dyDescent="0.2">
      <c r="D51" s="7"/>
    </row>
    <row r="52" spans="3:4" ht="14.85" customHeight="1" x14ac:dyDescent="0.2">
      <c r="D52" s="7"/>
    </row>
    <row r="53" spans="3:4" ht="14.85" customHeight="1" x14ac:dyDescent="0.2">
      <c r="C53" s="43" t="s">
        <v>277</v>
      </c>
      <c r="D53" s="7"/>
    </row>
    <row r="54" spans="3:4" ht="14.85" customHeight="1" x14ac:dyDescent="0.2">
      <c r="D54" s="7"/>
    </row>
    <row r="55" spans="3:4" ht="14.85" customHeight="1" x14ac:dyDescent="0.2">
      <c r="D55" s="7"/>
    </row>
    <row r="56" spans="3:4" ht="14.85" customHeight="1" x14ac:dyDescent="0.2">
      <c r="D56" s="7"/>
    </row>
  </sheetData>
  <autoFilter ref="A16:C16" xr:uid="{2B266C6B-0B71-4081-956C-E554865C3BC9}"/>
  <mergeCells count="6">
    <mergeCell ref="C8:D8"/>
    <mergeCell ref="A1:F1"/>
    <mergeCell ref="G2:G3"/>
    <mergeCell ref="H2:H3"/>
    <mergeCell ref="I2:I3"/>
    <mergeCell ref="G4:I5"/>
  </mergeCells>
  <phoneticPr fontId="4" type="noConversion"/>
  <conditionalFormatting sqref="D12:D13">
    <cfRule type="expression" dxfId="47" priority="6">
      <formula>"$E$10&lt;-0.01"</formula>
    </cfRule>
    <cfRule type="expression" dxfId="46" priority="7">
      <formula>"$E$10&gt;0.01"</formula>
    </cfRule>
  </conditionalFormatting>
  <conditionalFormatting sqref="H1:H8 H17:H20 H26:H1048576 E21:E25 K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:A56">
    <cfRule type="containsText" dxfId="45" priority="3" operator="containsText" text="活">
      <formula>NOT(ISERROR(SEARCH("活",A17)))</formula>
    </cfRule>
    <cfRule type="containsText" dxfId="44" priority="4" operator="containsText" text="消费">
      <formula>NOT(ISERROR(SEARCH("消费",A17)))</formula>
    </cfRule>
  </conditionalFormatting>
  <conditionalFormatting sqref="C17:C29 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C29">
    <cfRule type="colorScale" priority="9">
      <colorScale>
        <cfvo type="min"/>
        <cfvo type="max"/>
        <color rgb="FFFCFCFF"/>
        <color rgb="FFF8696B"/>
      </colorScale>
    </cfRule>
  </conditionalFormatting>
  <conditionalFormatting sqref="O10:O11">
    <cfRule type="cellIs" dxfId="43" priority="1" operator="greaterThan">
      <formula>0</formula>
    </cfRule>
    <cfRule type="cellIs" dxfId="42" priority="2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599F2-B9C3-4096-B1EF-C540E09D38D8}">
  <sheetPr codeName="Sheet32"/>
  <dimension ref="A1:W56"/>
  <sheetViews>
    <sheetView workbookViewId="0">
      <selection activeCell="O10" sqref="O10"/>
    </sheetView>
  </sheetViews>
  <sheetFormatPr defaultColWidth="8.75" defaultRowHeight="14.85" customHeight="1" x14ac:dyDescent="0.2"/>
  <cols>
    <col min="1" max="1" width="10" style="43" customWidth="1"/>
    <col min="2" max="2" width="14.25" style="43" customWidth="1"/>
    <col min="3" max="3" width="8.375" style="43" customWidth="1"/>
    <col min="4" max="4" width="5.375" style="43" customWidth="1"/>
    <col min="5" max="5" width="9" style="43" customWidth="1"/>
    <col min="6" max="6" width="7.75" style="43" customWidth="1"/>
    <col min="7" max="7" width="15.25" style="332" hidden="1" customWidth="1"/>
    <col min="8" max="8" width="8.5" style="332" hidden="1" customWidth="1"/>
    <col min="9" max="9" width="8.5" style="43" hidden="1" customWidth="1"/>
    <col min="10" max="10" width="10.5" style="332" customWidth="1"/>
    <col min="11" max="13" width="10.5" style="43" customWidth="1"/>
    <col min="14" max="15" width="8.75" style="43" bestFit="1"/>
    <col min="16" max="16" width="11.75" style="43" bestFit="1" customWidth="1"/>
    <col min="17" max="16384" width="8.75" style="43"/>
  </cols>
  <sheetData>
    <row r="1" spans="1:16" ht="23.85" customHeight="1" thickBot="1" x14ac:dyDescent="0.25">
      <c r="A1" s="407" t="s">
        <v>329</v>
      </c>
      <c r="B1" s="407"/>
      <c r="C1" s="407"/>
      <c r="D1" s="407"/>
      <c r="E1" s="407"/>
      <c r="F1" s="407"/>
      <c r="G1" s="333"/>
      <c r="H1" s="334"/>
      <c r="I1" s="205"/>
      <c r="J1" s="43" t="s">
        <v>16</v>
      </c>
      <c r="K1" s="95">
        <f>B3+B5+B6+B7</f>
        <v>3642.8599999999997</v>
      </c>
      <c r="L1" s="43" t="s">
        <v>267</v>
      </c>
      <c r="M1" s="95">
        <f>B5+B6+B7+D4</f>
        <v>1656.49</v>
      </c>
    </row>
    <row r="2" spans="1:16" ht="14.85" hidden="1" customHeight="1" x14ac:dyDescent="0.2">
      <c r="A2" s="268" t="s">
        <v>5</v>
      </c>
      <c r="B2" s="335">
        <f>B9</f>
        <v>11565.16</v>
      </c>
      <c r="C2" s="336" t="s">
        <v>29</v>
      </c>
      <c r="D2" s="337">
        <f>B10</f>
        <v>5745.07</v>
      </c>
      <c r="E2" s="43" t="s">
        <v>235</v>
      </c>
      <c r="F2" s="64">
        <f>F9</f>
        <v>12830</v>
      </c>
      <c r="G2" s="408" t="s">
        <v>139</v>
      </c>
      <c r="H2" s="409">
        <f ca="1">F3/F2/30*365*100</f>
        <v>-17.677227851389958</v>
      </c>
      <c r="I2" s="410" t="s">
        <v>62</v>
      </c>
    </row>
    <row r="3" spans="1:16" ht="14.85" hidden="1" customHeight="1" thickBot="1" x14ac:dyDescent="0.25">
      <c r="A3" s="227" t="s">
        <v>198</v>
      </c>
      <c r="B3" s="64">
        <f>B11</f>
        <v>1986.37</v>
      </c>
      <c r="C3" s="222" t="s">
        <v>86</v>
      </c>
      <c r="D3" s="64">
        <f>D11</f>
        <v>2102.21</v>
      </c>
      <c r="E3" s="43" t="s">
        <v>236</v>
      </c>
      <c r="F3" s="84" cm="1">
        <f t="array" aca="1" ref="F3" ca="1">F4-NxtSheet(F4)</f>
        <v>-186.40999999999985</v>
      </c>
      <c r="G3" s="408"/>
      <c r="H3" s="409"/>
      <c r="I3" s="410"/>
      <c r="J3" s="228"/>
      <c r="K3" s="228"/>
    </row>
    <row r="4" spans="1:16" ht="14.85" hidden="1" customHeight="1" thickBot="1" x14ac:dyDescent="0.25">
      <c r="A4" s="227" t="s">
        <v>225</v>
      </c>
      <c r="B4" s="64">
        <f>(B6+B7)</f>
        <v>1656.49</v>
      </c>
      <c r="C4" s="222" t="s">
        <v>197</v>
      </c>
      <c r="D4" s="64">
        <f>K4</f>
        <v>0</v>
      </c>
      <c r="E4" s="43" t="s">
        <v>189</v>
      </c>
      <c r="F4" s="95">
        <f>D9</f>
        <v>4575.0200000000004</v>
      </c>
      <c r="G4" s="375"/>
      <c r="H4" s="375"/>
      <c r="I4" s="411"/>
      <c r="J4" s="228" t="s">
        <v>281</v>
      </c>
      <c r="K4" s="257"/>
    </row>
    <row r="5" spans="1:16" ht="14.85" hidden="1" customHeight="1" thickBot="1" x14ac:dyDescent="0.25">
      <c r="A5" s="229" t="s">
        <v>131</v>
      </c>
      <c r="B5" s="64"/>
      <c r="C5" s="223" t="s">
        <v>196</v>
      </c>
      <c r="D5" s="64">
        <f>D6+D7</f>
        <v>0</v>
      </c>
      <c r="E5" s="226" t="s">
        <v>283</v>
      </c>
      <c r="F5" s="255"/>
      <c r="G5" s="376"/>
      <c r="H5" s="376"/>
      <c r="I5" s="412"/>
      <c r="K5" s="95"/>
    </row>
    <row r="6" spans="1:16" ht="14.85" hidden="1" customHeight="1" x14ac:dyDescent="0.2">
      <c r="A6" s="231" t="s">
        <v>138</v>
      </c>
      <c r="B6" s="199">
        <f>B13</f>
        <v>1656.49</v>
      </c>
      <c r="C6" s="226" t="s">
        <v>248</v>
      </c>
      <c r="D6" s="266">
        <f>K3</f>
        <v>0</v>
      </c>
      <c r="E6" s="43" t="s">
        <v>254</v>
      </c>
      <c r="F6" s="95">
        <f>IF((30-B8-F10)&lt;=0,0,F7/(30-B8-F10))</f>
        <v>10.08625</v>
      </c>
    </row>
    <row r="7" spans="1:16" ht="14.85" hidden="1" customHeight="1" x14ac:dyDescent="0.2">
      <c r="A7" s="234" t="s">
        <v>249</v>
      </c>
      <c r="B7" s="95">
        <f>B14</f>
        <v>0</v>
      </c>
      <c r="C7" s="1" t="s">
        <v>196</v>
      </c>
      <c r="D7" s="263">
        <f>F5</f>
        <v>0</v>
      </c>
      <c r="E7" s="43" t="s">
        <v>252</v>
      </c>
      <c r="F7" s="95">
        <f>B15</f>
        <v>80.69</v>
      </c>
    </row>
    <row r="8" spans="1:16" ht="14.85" hidden="1" customHeight="1" thickBot="1" x14ac:dyDescent="0.25">
      <c r="A8" s="234" t="s">
        <v>226</v>
      </c>
      <c r="B8" s="1">
        <f>D10</f>
        <v>13</v>
      </c>
      <c r="C8" s="405" t="str">
        <f>IF(ABS(D2-B3-B5-D3-D4-D5-B6-B7)&lt;0.01,"",D2-B3-B5-D3-D4-D5-B6-B7)</f>
        <v/>
      </c>
      <c r="D8" s="406"/>
    </row>
    <row r="9" spans="1:16" ht="14.85" customHeight="1" x14ac:dyDescent="0.2">
      <c r="A9" s="231" t="s">
        <v>59</v>
      </c>
      <c r="B9" s="255">
        <v>11565.16</v>
      </c>
      <c r="C9" s="226" t="s">
        <v>309</v>
      </c>
      <c r="D9" s="255">
        <v>4575.0200000000004</v>
      </c>
      <c r="E9" s="226" t="s">
        <v>328</v>
      </c>
      <c r="F9" s="244">
        <v>12830</v>
      </c>
      <c r="J9" s="43" t="s">
        <v>86</v>
      </c>
      <c r="K9" s="95">
        <f>D3</f>
        <v>2102.21</v>
      </c>
      <c r="L9" s="43" t="s">
        <v>210</v>
      </c>
      <c r="M9" s="95">
        <f>D2-M1</f>
        <v>4088.58</v>
      </c>
      <c r="N9" s="43" t="s">
        <v>279</v>
      </c>
      <c r="O9" s="95">
        <f>B6+B7+B5</f>
        <v>1656.49</v>
      </c>
    </row>
    <row r="10" spans="1:16" ht="14.85" customHeight="1" thickBot="1" x14ac:dyDescent="0.25">
      <c r="A10" s="236" t="s">
        <v>70</v>
      </c>
      <c r="B10" s="257">
        <v>5745.07</v>
      </c>
      <c r="C10" s="228" t="s">
        <v>226</v>
      </c>
      <c r="D10" s="254">
        <v>13</v>
      </c>
      <c r="E10" s="228" t="s">
        <v>292</v>
      </c>
      <c r="F10" s="272">
        <v>9</v>
      </c>
      <c r="J10" s="43"/>
      <c r="K10" s="95"/>
      <c r="L10" s="279"/>
      <c r="N10" s="43" t="s">
        <v>236</v>
      </c>
      <c r="O10" s="368">
        <f ca="1">F3</f>
        <v>-186.40999999999985</v>
      </c>
      <c r="P10" s="315">
        <f ca="1">H2/12/100</f>
        <v>-1.4731023209491632E-2</v>
      </c>
    </row>
    <row r="11" spans="1:16" ht="14.85" customHeight="1" x14ac:dyDescent="0.2">
      <c r="A11" s="231" t="s">
        <v>282</v>
      </c>
      <c r="B11" s="255">
        <v>1986.37</v>
      </c>
      <c r="C11" s="226" t="s">
        <v>86</v>
      </c>
      <c r="D11" s="244">
        <v>2102.21</v>
      </c>
      <c r="L11" s="279"/>
      <c r="N11" s="43" t="s">
        <v>30</v>
      </c>
      <c r="O11" s="95">
        <f>B2-D2</f>
        <v>5820.09</v>
      </c>
      <c r="P11" s="331"/>
    </row>
    <row r="12" spans="1:16" ht="14.85" hidden="1" customHeight="1" thickBot="1" x14ac:dyDescent="0.25">
      <c r="A12" s="236"/>
      <c r="B12" s="256"/>
      <c r="D12" s="273"/>
      <c r="L12" s="279"/>
    </row>
    <row r="13" spans="1:16" ht="14.85" customHeight="1" thickBot="1" x14ac:dyDescent="0.25">
      <c r="A13" s="236" t="s">
        <v>279</v>
      </c>
      <c r="B13" s="257">
        <v>1656.49</v>
      </c>
      <c r="C13" s="228"/>
      <c r="D13" s="274" t="str">
        <f>C8</f>
        <v/>
      </c>
      <c r="L13" s="279"/>
      <c r="N13" s="43" t="s">
        <v>318</v>
      </c>
      <c r="O13" s="95">
        <f>O11+B11+B13</f>
        <v>9462.9500000000007</v>
      </c>
    </row>
    <row r="14" spans="1:16" ht="14.85" hidden="1" customHeight="1" x14ac:dyDescent="0.2">
      <c r="B14" s="95"/>
      <c r="L14" s="279"/>
    </row>
    <row r="15" spans="1:16" ht="14.85" customHeight="1" x14ac:dyDescent="0.2">
      <c r="A15" s="43" t="s">
        <v>252</v>
      </c>
      <c r="B15" s="242">
        <v>80.69</v>
      </c>
      <c r="L15" s="279"/>
    </row>
    <row r="16" spans="1:16" ht="14.85" customHeight="1" x14ac:dyDescent="0.2">
      <c r="D16" s="7" t="s">
        <v>330</v>
      </c>
      <c r="K16" s="332"/>
      <c r="L16" s="279"/>
    </row>
    <row r="17" spans="1:12" ht="14.85" customHeight="1" x14ac:dyDescent="0.2">
      <c r="A17" s="43" t="s">
        <v>86</v>
      </c>
      <c r="B17" s="338" t="s">
        <v>331</v>
      </c>
      <c r="C17" s="339">
        <v>188.08</v>
      </c>
      <c r="D17" s="7" t="s">
        <v>334</v>
      </c>
      <c r="E17" s="43">
        <v>1321.2</v>
      </c>
    </row>
    <row r="18" spans="1:12" ht="14.85" customHeight="1" x14ac:dyDescent="0.2">
      <c r="A18" s="43" t="s">
        <v>16</v>
      </c>
      <c r="B18" s="332" t="s">
        <v>335</v>
      </c>
      <c r="C18" s="339">
        <v>27.13</v>
      </c>
      <c r="D18" s="7" t="s">
        <v>220</v>
      </c>
      <c r="E18" s="43">
        <v>1646.05</v>
      </c>
      <c r="K18" s="339"/>
      <c r="L18" s="279"/>
    </row>
    <row r="19" spans="1:12" ht="14.85" customHeight="1" x14ac:dyDescent="0.2">
      <c r="A19" s="43" t="s">
        <v>86</v>
      </c>
      <c r="B19" s="332" t="s">
        <v>332</v>
      </c>
      <c r="C19" s="339">
        <v>199</v>
      </c>
      <c r="D19" s="7"/>
    </row>
    <row r="20" spans="1:12" ht="14.85" customHeight="1" x14ac:dyDescent="0.2">
      <c r="A20" s="43" t="s">
        <v>16</v>
      </c>
      <c r="B20" s="332" t="s">
        <v>333</v>
      </c>
      <c r="C20" s="339">
        <v>443</v>
      </c>
      <c r="D20" s="7"/>
    </row>
    <row r="21" spans="1:12" ht="14.85" customHeight="1" x14ac:dyDescent="0.2">
      <c r="A21" s="43" t="s">
        <v>16</v>
      </c>
      <c r="B21" s="332" t="s">
        <v>336</v>
      </c>
      <c r="C21" s="339">
        <v>1600</v>
      </c>
      <c r="D21" s="7" t="s">
        <v>339</v>
      </c>
      <c r="E21" s="332"/>
      <c r="H21" s="43"/>
      <c r="J21" s="43"/>
    </row>
    <row r="22" spans="1:12" ht="14.85" customHeight="1" x14ac:dyDescent="0.2">
      <c r="A22" s="43" t="s">
        <v>86</v>
      </c>
      <c r="B22" s="332" t="s">
        <v>337</v>
      </c>
      <c r="C22" s="339">
        <v>660</v>
      </c>
      <c r="D22" s="7" t="s">
        <v>338</v>
      </c>
      <c r="E22" s="332"/>
      <c r="H22" s="43"/>
      <c r="J22" s="43"/>
    </row>
    <row r="23" spans="1:12" ht="14.85" customHeight="1" x14ac:dyDescent="0.2">
      <c r="B23" s="332"/>
      <c r="C23" s="339"/>
      <c r="D23" s="7"/>
      <c r="E23" s="332"/>
      <c r="H23" s="43"/>
      <c r="J23" s="43"/>
    </row>
    <row r="24" spans="1:12" ht="14.85" customHeight="1" x14ac:dyDescent="0.2">
      <c r="B24" s="332"/>
      <c r="C24" s="339"/>
      <c r="D24" s="7"/>
      <c r="E24" s="332"/>
      <c r="H24" s="43"/>
      <c r="J24" s="43"/>
    </row>
    <row r="25" spans="1:12" ht="14.85" customHeight="1" x14ac:dyDescent="0.2">
      <c r="B25" s="332"/>
      <c r="C25" s="339"/>
      <c r="D25" s="7"/>
      <c r="E25" s="332"/>
      <c r="H25" s="43"/>
      <c r="J25" s="43"/>
    </row>
    <row r="26" spans="1:12" ht="14.85" customHeight="1" x14ac:dyDescent="0.2">
      <c r="B26" s="332"/>
      <c r="C26" s="339"/>
      <c r="D26" s="7"/>
    </row>
    <row r="27" spans="1:12" ht="14.85" customHeight="1" x14ac:dyDescent="0.2">
      <c r="B27" s="332"/>
      <c r="C27" s="339"/>
      <c r="D27" s="7"/>
    </row>
    <row r="28" spans="1:12" ht="14.85" customHeight="1" x14ac:dyDescent="0.2">
      <c r="B28" s="332"/>
      <c r="C28" s="339"/>
      <c r="D28" s="7"/>
    </row>
    <row r="29" spans="1:12" ht="14.85" customHeight="1" x14ac:dyDescent="0.2">
      <c r="B29" s="332"/>
      <c r="C29" s="339"/>
      <c r="D29" s="7"/>
    </row>
    <row r="30" spans="1:12" ht="14.85" customHeight="1" x14ac:dyDescent="0.2">
      <c r="D30" s="7"/>
    </row>
    <row r="31" spans="1:12" ht="14.85" customHeight="1" x14ac:dyDescent="0.2">
      <c r="D31" s="7"/>
    </row>
    <row r="32" spans="1:12" ht="14.85" customHeight="1" x14ac:dyDescent="0.2">
      <c r="D32" s="7"/>
    </row>
    <row r="33" spans="4:23" ht="14.85" customHeight="1" x14ac:dyDescent="0.2">
      <c r="D33" s="7"/>
    </row>
    <row r="34" spans="4:23" ht="14.85" customHeight="1" x14ac:dyDescent="0.2">
      <c r="D34" s="7"/>
    </row>
    <row r="35" spans="4:23" ht="14.85" customHeight="1" x14ac:dyDescent="0.2">
      <c r="D35" s="7"/>
    </row>
    <row r="36" spans="4:23" ht="14.85" customHeight="1" x14ac:dyDescent="0.2">
      <c r="D36" s="7"/>
    </row>
    <row r="37" spans="4:23" ht="14.85" customHeight="1" x14ac:dyDescent="0.2">
      <c r="D37" s="7"/>
      <c r="W37" s="43" t="s">
        <v>277</v>
      </c>
    </row>
    <row r="38" spans="4:23" ht="14.85" customHeight="1" x14ac:dyDescent="0.2">
      <c r="D38" s="7"/>
    </row>
    <row r="39" spans="4:23" ht="14.85" customHeight="1" x14ac:dyDescent="0.2">
      <c r="D39" s="7"/>
    </row>
    <row r="40" spans="4:23" ht="14.85" customHeight="1" x14ac:dyDescent="0.2">
      <c r="D40" s="7"/>
    </row>
    <row r="41" spans="4:23" ht="14.85" customHeight="1" x14ac:dyDescent="0.2">
      <c r="D41" s="7"/>
    </row>
    <row r="42" spans="4:23" ht="14.85" customHeight="1" x14ac:dyDescent="0.2">
      <c r="D42" s="7"/>
    </row>
    <row r="43" spans="4:23" ht="14.85" customHeight="1" x14ac:dyDescent="0.2">
      <c r="D43" s="7"/>
    </row>
    <row r="44" spans="4:23" ht="14.85" customHeight="1" x14ac:dyDescent="0.2">
      <c r="D44" s="7"/>
    </row>
    <row r="45" spans="4:23" ht="14.85" customHeight="1" x14ac:dyDescent="0.2">
      <c r="D45" s="7"/>
    </row>
    <row r="46" spans="4:23" ht="14.85" customHeight="1" x14ac:dyDescent="0.2">
      <c r="D46" s="7"/>
    </row>
    <row r="47" spans="4:23" ht="14.85" customHeight="1" x14ac:dyDescent="0.2">
      <c r="D47" s="7"/>
    </row>
    <row r="48" spans="4:23" ht="14.85" customHeight="1" x14ac:dyDescent="0.2">
      <c r="D48" s="7"/>
    </row>
    <row r="49" spans="3:4" ht="14.85" customHeight="1" x14ac:dyDescent="0.2">
      <c r="D49" s="7"/>
    </row>
    <row r="50" spans="3:4" ht="14.85" customHeight="1" x14ac:dyDescent="0.2">
      <c r="D50" s="7"/>
    </row>
    <row r="51" spans="3:4" ht="14.85" customHeight="1" x14ac:dyDescent="0.2">
      <c r="D51" s="7"/>
    </row>
    <row r="52" spans="3:4" ht="14.85" customHeight="1" x14ac:dyDescent="0.2">
      <c r="D52" s="7"/>
    </row>
    <row r="53" spans="3:4" ht="14.85" customHeight="1" x14ac:dyDescent="0.2">
      <c r="C53" s="43" t="s">
        <v>277</v>
      </c>
      <c r="D53" s="7"/>
    </row>
    <row r="54" spans="3:4" ht="14.85" customHeight="1" x14ac:dyDescent="0.2">
      <c r="D54" s="7"/>
    </row>
    <row r="55" spans="3:4" ht="14.85" customHeight="1" x14ac:dyDescent="0.2">
      <c r="D55" s="7"/>
    </row>
    <row r="56" spans="3:4" ht="14.85" customHeight="1" x14ac:dyDescent="0.2">
      <c r="D56" s="7"/>
    </row>
  </sheetData>
  <autoFilter ref="A16:C16" xr:uid="{2B266C6B-0B71-4081-956C-E554865C3BC9}"/>
  <mergeCells count="6">
    <mergeCell ref="C8:D8"/>
    <mergeCell ref="A1:F1"/>
    <mergeCell ref="G2:G3"/>
    <mergeCell ref="H2:H3"/>
    <mergeCell ref="I2:I3"/>
    <mergeCell ref="G4:I5"/>
  </mergeCells>
  <phoneticPr fontId="4" type="noConversion"/>
  <conditionalFormatting sqref="D12:D13">
    <cfRule type="expression" dxfId="41" priority="6">
      <formula>"$E$10&lt;-0.01"</formula>
    </cfRule>
    <cfRule type="expression" dxfId="40" priority="7">
      <formula>"$E$10&gt;0.01"</formula>
    </cfRule>
  </conditionalFormatting>
  <conditionalFormatting sqref="H1:H8 H17:H20 H26:H1048576 E21:E25 K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:A56">
    <cfRule type="containsText" dxfId="39" priority="3" operator="containsText" text="活">
      <formula>NOT(ISERROR(SEARCH("活",A17)))</formula>
    </cfRule>
    <cfRule type="containsText" dxfId="38" priority="4" operator="containsText" text="消费">
      <formula>NOT(ISERROR(SEARCH("消费",A17)))</formula>
    </cfRule>
  </conditionalFormatting>
  <conditionalFormatting sqref="C17:C29 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C29">
    <cfRule type="colorScale" priority="9">
      <colorScale>
        <cfvo type="min"/>
        <cfvo type="max"/>
        <color rgb="FFFCFCFF"/>
        <color rgb="FFF8696B"/>
      </colorScale>
    </cfRule>
  </conditionalFormatting>
  <conditionalFormatting sqref="O10">
    <cfRule type="cellIs" dxfId="37" priority="1" operator="greaterThan">
      <formula>$N$1</formula>
    </cfRule>
    <cfRule type="cellIs" dxfId="36" priority="2" operator="lessThan">
      <formula>P10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17414-4C01-4495-BA47-6022C996D4CE}">
  <sheetPr codeName="Sheet31"/>
  <dimension ref="A1:W53"/>
  <sheetViews>
    <sheetView workbookViewId="0">
      <selection activeCell="O10" sqref="O10"/>
    </sheetView>
  </sheetViews>
  <sheetFormatPr defaultColWidth="8.75" defaultRowHeight="14.85" customHeight="1" x14ac:dyDescent="0.2"/>
  <cols>
    <col min="1" max="1" width="10" style="43" customWidth="1"/>
    <col min="2" max="2" width="14.25" style="43" customWidth="1"/>
    <col min="3" max="3" width="8.375" style="43" customWidth="1"/>
    <col min="4" max="4" width="5.375" style="43" customWidth="1"/>
    <col min="5" max="5" width="9" style="43" customWidth="1"/>
    <col min="6" max="6" width="7.75" style="43" customWidth="1"/>
    <col min="7" max="7" width="15.25" style="276" hidden="1" customWidth="1"/>
    <col min="8" max="8" width="8.5" style="276" hidden="1" customWidth="1"/>
    <col min="9" max="9" width="8.5" style="43" hidden="1" customWidth="1"/>
    <col min="10" max="10" width="10.5" style="276" customWidth="1"/>
    <col min="11" max="13" width="10.5" style="43" customWidth="1"/>
    <col min="14" max="16384" width="8.75" style="43"/>
  </cols>
  <sheetData>
    <row r="1" spans="1:16" ht="23.85" customHeight="1" thickBot="1" x14ac:dyDescent="0.25">
      <c r="A1" s="407" t="s">
        <v>323</v>
      </c>
      <c r="B1" s="407"/>
      <c r="C1" s="407"/>
      <c r="D1" s="407"/>
      <c r="E1" s="407"/>
      <c r="F1" s="407"/>
      <c r="G1" s="275"/>
      <c r="H1" s="277"/>
      <c r="I1" s="205"/>
      <c r="J1" s="43" t="s">
        <v>16</v>
      </c>
      <c r="K1" s="95">
        <f>B3+B5+B6+B7</f>
        <v>3777.57</v>
      </c>
      <c r="L1" s="43" t="s">
        <v>267</v>
      </c>
      <c r="M1" s="95">
        <f>B5+B6+B7+D4</f>
        <v>2155.15</v>
      </c>
    </row>
    <row r="2" spans="1:16" ht="14.85" hidden="1" customHeight="1" x14ac:dyDescent="0.2">
      <c r="A2" s="268" t="s">
        <v>5</v>
      </c>
      <c r="B2" s="269">
        <f>B9</f>
        <v>8233.3700000000008</v>
      </c>
      <c r="C2" s="270" t="s">
        <v>29</v>
      </c>
      <c r="D2" s="271">
        <f>B10</f>
        <v>6506.43</v>
      </c>
      <c r="E2" s="43" t="s">
        <v>235</v>
      </c>
      <c r="F2" s="64">
        <f>F9</f>
        <v>12830</v>
      </c>
      <c r="G2" s="413" t="s">
        <v>139</v>
      </c>
      <c r="H2" s="414">
        <f ca="1">F3/F2/30*365*100</f>
        <v>102.68647700701486</v>
      </c>
      <c r="I2" s="410" t="s">
        <v>62</v>
      </c>
    </row>
    <row r="3" spans="1:16" ht="14.85" hidden="1" customHeight="1" thickBot="1" x14ac:dyDescent="0.25">
      <c r="A3" s="227" t="s">
        <v>198</v>
      </c>
      <c r="B3" s="88">
        <f>B11</f>
        <v>1622.42</v>
      </c>
      <c r="C3" s="222" t="s">
        <v>86</v>
      </c>
      <c r="D3" s="88">
        <f>D11</f>
        <v>2728.87</v>
      </c>
      <c r="E3" s="43" t="s">
        <v>236</v>
      </c>
      <c r="F3" s="84" cm="1">
        <f t="array" aca="1" ref="F3" ca="1">F4-NxtSheet(F4)</f>
        <v>1082.8500000000004</v>
      </c>
      <c r="G3" s="413"/>
      <c r="H3" s="414"/>
      <c r="I3" s="410"/>
      <c r="J3" s="228"/>
      <c r="K3" s="228"/>
    </row>
    <row r="4" spans="1:16" ht="14.85" hidden="1" customHeight="1" thickBot="1" x14ac:dyDescent="0.25">
      <c r="A4" s="227" t="s">
        <v>225</v>
      </c>
      <c r="B4" s="88">
        <f>(B6+B7)</f>
        <v>2155.15</v>
      </c>
      <c r="C4" s="222" t="s">
        <v>197</v>
      </c>
      <c r="D4" s="88">
        <f>K4</f>
        <v>0</v>
      </c>
      <c r="E4" s="43" t="s">
        <v>189</v>
      </c>
      <c r="F4" s="95">
        <f>D9</f>
        <v>4761.43</v>
      </c>
      <c r="G4" s="375"/>
      <c r="H4" s="375"/>
      <c r="I4" s="411"/>
      <c r="J4" s="228" t="s">
        <v>281</v>
      </c>
      <c r="K4" s="257"/>
    </row>
    <row r="5" spans="1:16" ht="14.85" hidden="1" customHeight="1" thickBot="1" x14ac:dyDescent="0.25">
      <c r="A5" s="229" t="s">
        <v>131</v>
      </c>
      <c r="B5" s="88"/>
      <c r="C5" s="223" t="s">
        <v>196</v>
      </c>
      <c r="D5" s="88">
        <f>D6+D7</f>
        <v>0</v>
      </c>
      <c r="E5" s="226" t="s">
        <v>283</v>
      </c>
      <c r="F5" s="255"/>
      <c r="G5" s="376"/>
      <c r="H5" s="376"/>
      <c r="I5" s="412"/>
      <c r="K5" s="95"/>
    </row>
    <row r="6" spans="1:16" ht="14.85" hidden="1" customHeight="1" x14ac:dyDescent="0.2">
      <c r="A6" s="231" t="s">
        <v>138</v>
      </c>
      <c r="B6" s="265">
        <f>B13</f>
        <v>2155.15</v>
      </c>
      <c r="C6" s="226" t="s">
        <v>248</v>
      </c>
      <c r="D6" s="266">
        <f>K3</f>
        <v>0</v>
      </c>
      <c r="E6" s="43" t="s">
        <v>254</v>
      </c>
      <c r="F6" s="95">
        <f>IF((30-B8-F10)&lt;=0,0,F7/(30-B8-F10))</f>
        <v>0</v>
      </c>
    </row>
    <row r="7" spans="1:16" ht="14.85" hidden="1" customHeight="1" x14ac:dyDescent="0.2">
      <c r="A7" s="234" t="s">
        <v>249</v>
      </c>
      <c r="B7" s="95">
        <f>B14</f>
        <v>0</v>
      </c>
      <c r="C7" s="1" t="s">
        <v>196</v>
      </c>
      <c r="D7" s="267">
        <f>F5</f>
        <v>0</v>
      </c>
      <c r="E7" s="43" t="s">
        <v>252</v>
      </c>
      <c r="F7" s="95">
        <f>B15</f>
        <v>1.26</v>
      </c>
    </row>
    <row r="8" spans="1:16" ht="14.85" hidden="1" customHeight="1" thickBot="1" x14ac:dyDescent="0.25">
      <c r="A8" s="234" t="s">
        <v>226</v>
      </c>
      <c r="B8" s="1">
        <f>D10</f>
        <v>30</v>
      </c>
      <c r="C8" s="405" t="str">
        <f>IF(ABS(D2-B3-B5-D3-D4-D5-B6-B7)&lt;0.01,"",D2-B3-B5-D3-D4-D5-B6-B7)</f>
        <v/>
      </c>
      <c r="D8" s="406"/>
    </row>
    <row r="9" spans="1:16" ht="14.85" customHeight="1" x14ac:dyDescent="0.2">
      <c r="A9" s="231" t="s">
        <v>59</v>
      </c>
      <c r="B9" s="255">
        <v>8233.3700000000008</v>
      </c>
      <c r="C9" s="226" t="s">
        <v>309</v>
      </c>
      <c r="D9" s="255">
        <v>4761.43</v>
      </c>
      <c r="E9" s="226" t="s">
        <v>328</v>
      </c>
      <c r="F9" s="244">
        <v>12830</v>
      </c>
      <c r="J9" s="43" t="s">
        <v>86</v>
      </c>
      <c r="K9" s="95">
        <f>D3</f>
        <v>2728.87</v>
      </c>
      <c r="L9" s="43" t="s">
        <v>210</v>
      </c>
      <c r="M9" s="95">
        <f>D2-M1</f>
        <v>4351.2800000000007</v>
      </c>
      <c r="N9" s="43" t="s">
        <v>279</v>
      </c>
      <c r="O9" s="95">
        <f>B6+B7+B5</f>
        <v>2155.15</v>
      </c>
    </row>
    <row r="10" spans="1:16" ht="14.85" customHeight="1" thickBot="1" x14ac:dyDescent="0.25">
      <c r="A10" s="236" t="s">
        <v>70</v>
      </c>
      <c r="B10" s="257">
        <v>6506.43</v>
      </c>
      <c r="C10" s="228" t="s">
        <v>226</v>
      </c>
      <c r="D10" s="254">
        <v>30</v>
      </c>
      <c r="E10" s="228" t="s">
        <v>292</v>
      </c>
      <c r="F10" s="272">
        <v>0</v>
      </c>
      <c r="J10" s="43"/>
      <c r="K10" s="95"/>
      <c r="L10" s="279"/>
      <c r="N10" s="43" t="s">
        <v>236</v>
      </c>
      <c r="O10" s="368">
        <f ca="1">F3</f>
        <v>1082.8500000000004</v>
      </c>
      <c r="P10" s="315">
        <v>6.4500000000000002E-2</v>
      </c>
    </row>
    <row r="11" spans="1:16" ht="14.85" customHeight="1" x14ac:dyDescent="0.2">
      <c r="A11" s="231" t="s">
        <v>282</v>
      </c>
      <c r="B11" s="255">
        <v>1622.42</v>
      </c>
      <c r="C11" s="226" t="s">
        <v>86</v>
      </c>
      <c r="D11" s="244">
        <v>2728.87</v>
      </c>
      <c r="L11" s="279"/>
      <c r="N11" s="43" t="s">
        <v>30</v>
      </c>
      <c r="O11" s="95">
        <f>B2-D2</f>
        <v>1726.9400000000005</v>
      </c>
      <c r="P11" s="331"/>
    </row>
    <row r="12" spans="1:16" ht="14.85" hidden="1" customHeight="1" thickBot="1" x14ac:dyDescent="0.25">
      <c r="A12" s="236"/>
      <c r="B12" s="256"/>
      <c r="D12" s="273"/>
      <c r="L12" s="279"/>
    </row>
    <row r="13" spans="1:16" ht="14.85" customHeight="1" thickBot="1" x14ac:dyDescent="0.25">
      <c r="A13" s="236" t="s">
        <v>279</v>
      </c>
      <c r="B13" s="257">
        <v>2155.15</v>
      </c>
      <c r="C13" s="228"/>
      <c r="D13" s="274" t="str">
        <f>C8</f>
        <v/>
      </c>
      <c r="L13" s="279"/>
      <c r="N13" s="43" t="s">
        <v>318</v>
      </c>
      <c r="O13" s="95">
        <f>O11+B11+B13</f>
        <v>5504.51</v>
      </c>
    </row>
    <row r="14" spans="1:16" ht="14.85" hidden="1" customHeight="1" x14ac:dyDescent="0.2">
      <c r="B14" s="95"/>
      <c r="L14" s="279"/>
    </row>
    <row r="15" spans="1:16" ht="14.85" customHeight="1" x14ac:dyDescent="0.2">
      <c r="A15" s="43" t="s">
        <v>252</v>
      </c>
      <c r="B15" s="242">
        <v>1.26</v>
      </c>
      <c r="L15" s="279"/>
    </row>
    <row r="16" spans="1:16" ht="14.85" customHeight="1" x14ac:dyDescent="0.2">
      <c r="K16" s="276"/>
      <c r="L16" s="279"/>
    </row>
    <row r="17" spans="1:12" ht="14.85" customHeight="1" x14ac:dyDescent="0.2">
      <c r="A17" s="310" t="s">
        <v>16</v>
      </c>
      <c r="B17" s="309" t="s">
        <v>220</v>
      </c>
      <c r="C17" s="280">
        <v>2289.29</v>
      </c>
    </row>
    <row r="18" spans="1:12" ht="14.85" customHeight="1" x14ac:dyDescent="0.2">
      <c r="A18" s="310" t="s">
        <v>86</v>
      </c>
      <c r="B18" s="276" t="s">
        <v>324</v>
      </c>
      <c r="C18" s="280">
        <v>1893.55</v>
      </c>
      <c r="K18" s="280"/>
      <c r="L18" s="279"/>
    </row>
    <row r="19" spans="1:12" ht="14.85" customHeight="1" x14ac:dyDescent="0.2">
      <c r="A19" s="310" t="s">
        <v>16</v>
      </c>
      <c r="B19" s="276" t="s">
        <v>325</v>
      </c>
      <c r="C19" s="280">
        <v>750</v>
      </c>
    </row>
    <row r="20" spans="1:12" ht="14.85" customHeight="1" x14ac:dyDescent="0.2">
      <c r="A20" s="310" t="s">
        <v>16</v>
      </c>
      <c r="B20" s="276" t="s">
        <v>326</v>
      </c>
      <c r="C20" s="280">
        <v>562</v>
      </c>
    </row>
    <row r="21" spans="1:12" ht="14.85" customHeight="1" x14ac:dyDescent="0.2">
      <c r="D21" s="276"/>
      <c r="E21" s="276"/>
      <c r="H21" s="43"/>
      <c r="J21" s="43"/>
    </row>
    <row r="22" spans="1:12" ht="14.85" customHeight="1" x14ac:dyDescent="0.2">
      <c r="A22" s="95" cm="1">
        <f t="array" ref="A22">NxtSheets("now",23,"B4")</f>
        <v>1463.5594227450122</v>
      </c>
      <c r="D22" s="276"/>
      <c r="E22" s="276"/>
      <c r="H22" s="43"/>
      <c r="J22" s="43"/>
    </row>
    <row r="23" spans="1:12" ht="14.85" customHeight="1" x14ac:dyDescent="0.2">
      <c r="D23" s="276"/>
      <c r="E23" s="276"/>
      <c r="H23" s="43"/>
      <c r="J23" s="43"/>
    </row>
    <row r="24" spans="1:12" ht="14.85" customHeight="1" x14ac:dyDescent="0.2">
      <c r="D24" s="276"/>
      <c r="E24" s="276"/>
      <c r="H24" s="43"/>
      <c r="J24" s="43"/>
    </row>
    <row r="25" spans="1:12" ht="14.85" customHeight="1" x14ac:dyDescent="0.2">
      <c r="D25" s="276"/>
      <c r="E25" s="276"/>
      <c r="H25" s="43"/>
      <c r="J25" s="43"/>
    </row>
    <row r="27" spans="1:12" ht="14.85" customHeight="1" x14ac:dyDescent="0.2">
      <c r="A27" s="276"/>
      <c r="B27" s="276"/>
    </row>
    <row r="28" spans="1:12" ht="14.85" customHeight="1" x14ac:dyDescent="0.2">
      <c r="A28" s="276"/>
      <c r="B28" s="276"/>
    </row>
    <row r="37" spans="23:23" ht="14.85" customHeight="1" x14ac:dyDescent="0.2">
      <c r="W37" s="43" t="s">
        <v>277</v>
      </c>
    </row>
    <row r="53" spans="3:3" ht="14.85" customHeight="1" x14ac:dyDescent="0.2">
      <c r="C53" s="43" t="s">
        <v>277</v>
      </c>
    </row>
  </sheetData>
  <autoFilter ref="A16:C16" xr:uid="{2B266C6B-0B71-4081-956C-E554865C3BC9}"/>
  <mergeCells count="6">
    <mergeCell ref="C8:D8"/>
    <mergeCell ref="A1:F1"/>
    <mergeCell ref="G2:G3"/>
    <mergeCell ref="H2:H3"/>
    <mergeCell ref="I2:I3"/>
    <mergeCell ref="G4:I5"/>
  </mergeCells>
  <phoneticPr fontId="4" type="noConversion"/>
  <conditionalFormatting sqref="D12:D13">
    <cfRule type="expression" dxfId="35" priority="6">
      <formula>"$E$10&lt;-0.01"</formula>
    </cfRule>
    <cfRule type="expression" dxfId="34" priority="7">
      <formula>"$E$10&gt;0.01"</formula>
    </cfRule>
  </conditionalFormatting>
  <conditionalFormatting sqref="H1:H8 H17:H20 H26:H1048576 E21:E25 K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:A20">
    <cfRule type="containsText" dxfId="33" priority="3" operator="containsText" text="消费">
      <formula>NOT(ISERROR(SEARCH("消费",A17)))</formula>
    </cfRule>
  </conditionalFormatting>
  <conditionalFormatting sqref="B27:B28 K16 C17:C2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C20">
    <cfRule type="colorScale" priority="712">
      <colorScale>
        <cfvo type="min"/>
        <cfvo type="max"/>
        <color rgb="FFFCFCFF"/>
        <color rgb="FFF8696B"/>
      </colorScale>
    </cfRule>
  </conditionalFormatting>
  <conditionalFormatting sqref="O10">
    <cfRule type="cellIs" dxfId="32" priority="1" operator="greaterThan">
      <formula>$N$1</formula>
    </cfRule>
    <cfRule type="cellIs" dxfId="31" priority="2" operator="lessThan">
      <formula>P10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66C6B-0B71-4081-956C-E554865C3BC9}">
  <sheetPr codeName="Sheet30"/>
  <dimension ref="A1:W53"/>
  <sheetViews>
    <sheetView workbookViewId="0">
      <selection activeCell="F25" sqref="F25"/>
    </sheetView>
  </sheetViews>
  <sheetFormatPr defaultColWidth="8.75" defaultRowHeight="14.85" customHeight="1" x14ac:dyDescent="0.2"/>
  <cols>
    <col min="1" max="1" width="10" style="43" customWidth="1"/>
    <col min="2" max="2" width="12.375" style="43" customWidth="1"/>
    <col min="3" max="3" width="8.375" style="43" customWidth="1"/>
    <col min="4" max="4" width="5.375" style="43" customWidth="1"/>
    <col min="5" max="5" width="9" style="43" customWidth="1"/>
    <col min="6" max="6" width="6.25" style="43" customWidth="1"/>
    <col min="7" max="7" width="15.25" style="276" hidden="1" customWidth="1"/>
    <col min="8" max="8" width="6.5" style="276" hidden="1" customWidth="1"/>
    <col min="9" max="9" width="10.5" style="43" hidden="1" customWidth="1"/>
    <col min="10" max="10" width="10.5" style="276" customWidth="1"/>
    <col min="11" max="13" width="10.5" style="43" customWidth="1"/>
    <col min="14" max="16384" width="8.75" style="43"/>
  </cols>
  <sheetData>
    <row r="1" spans="1:16" ht="23.85" customHeight="1" thickBot="1" x14ac:dyDescent="0.25">
      <c r="A1" s="407" t="s">
        <v>302</v>
      </c>
      <c r="B1" s="407"/>
      <c r="C1" s="407"/>
      <c r="D1" s="407"/>
      <c r="E1" s="407"/>
      <c r="F1" s="407"/>
      <c r="G1" s="275"/>
      <c r="H1" s="277"/>
      <c r="I1" s="205"/>
      <c r="J1" s="43" t="s">
        <v>16</v>
      </c>
      <c r="K1" s="95">
        <f>B3+B5+B6+B7</f>
        <v>3381.4700000000003</v>
      </c>
      <c r="L1" s="43" t="s">
        <v>267</v>
      </c>
      <c r="M1" s="95">
        <f>B5+B6+B7+D4</f>
        <v>3080.28</v>
      </c>
    </row>
    <row r="2" spans="1:16" ht="14.85" hidden="1" customHeight="1" x14ac:dyDescent="0.2">
      <c r="A2" s="268" t="s">
        <v>5</v>
      </c>
      <c r="B2" s="269">
        <f>B9</f>
        <v>5361.51</v>
      </c>
      <c r="C2" s="270" t="s">
        <v>29</v>
      </c>
      <c r="D2" s="271">
        <f>B10</f>
        <v>7777.51</v>
      </c>
      <c r="E2" s="43" t="s">
        <v>235</v>
      </c>
      <c r="F2" s="64">
        <f>F9</f>
        <v>12924.53</v>
      </c>
      <c r="G2" s="413" t="s">
        <v>139</v>
      </c>
      <c r="H2" s="414">
        <f ca="1">F3/F2/30*365*100</f>
        <v>12.372326111665167</v>
      </c>
      <c r="I2" s="410" t="s">
        <v>62</v>
      </c>
    </row>
    <row r="3" spans="1:16" ht="14.85" hidden="1" customHeight="1" thickBot="1" x14ac:dyDescent="0.25">
      <c r="A3" s="227" t="s">
        <v>198</v>
      </c>
      <c r="B3" s="88">
        <f>B11</f>
        <v>301.19</v>
      </c>
      <c r="C3" s="222" t="s">
        <v>86</v>
      </c>
      <c r="D3" s="88">
        <f>D11</f>
        <v>4396.04</v>
      </c>
      <c r="E3" s="43" t="s">
        <v>236</v>
      </c>
      <c r="F3" s="84" cm="1">
        <f t="array" aca="1" ref="F3" ca="1">F4-NxtSheet(F4)</f>
        <v>131.42999999999984</v>
      </c>
      <c r="G3" s="413"/>
      <c r="H3" s="414"/>
      <c r="I3" s="410"/>
      <c r="J3" s="228"/>
      <c r="K3" s="228"/>
    </row>
    <row r="4" spans="1:16" ht="14.85" hidden="1" customHeight="1" thickBot="1" x14ac:dyDescent="0.25">
      <c r="A4" s="227" t="s">
        <v>225</v>
      </c>
      <c r="B4" s="88">
        <f>(B6+B7)/(30-B8)*30</f>
        <v>3080.28</v>
      </c>
      <c r="C4" s="222" t="s">
        <v>197</v>
      </c>
      <c r="D4" s="88">
        <f>K4</f>
        <v>0</v>
      </c>
      <c r="E4" s="43" t="s">
        <v>189</v>
      </c>
      <c r="F4" s="95">
        <f>D9</f>
        <v>3678.58</v>
      </c>
      <c r="G4" s="375"/>
      <c r="H4" s="375"/>
      <c r="I4" s="411"/>
      <c r="J4" s="228" t="s">
        <v>281</v>
      </c>
      <c r="K4" s="257"/>
    </row>
    <row r="5" spans="1:16" ht="14.85" hidden="1" customHeight="1" thickBot="1" x14ac:dyDescent="0.25">
      <c r="A5" s="229" t="s">
        <v>131</v>
      </c>
      <c r="B5" s="88"/>
      <c r="C5" s="223" t="s">
        <v>196</v>
      </c>
      <c r="D5" s="88">
        <f>D6+D7</f>
        <v>0</v>
      </c>
      <c r="E5" s="226" t="s">
        <v>283</v>
      </c>
      <c r="F5" s="255"/>
      <c r="G5" s="376"/>
      <c r="H5" s="376"/>
      <c r="I5" s="412"/>
      <c r="K5" s="95"/>
    </row>
    <row r="6" spans="1:16" ht="14.85" hidden="1" customHeight="1" x14ac:dyDescent="0.2">
      <c r="A6" s="231" t="s">
        <v>138</v>
      </c>
      <c r="B6" s="265">
        <f>B13</f>
        <v>3080.28</v>
      </c>
      <c r="C6" s="226" t="s">
        <v>248</v>
      </c>
      <c r="D6" s="266">
        <f>K3</f>
        <v>0</v>
      </c>
      <c r="E6" s="43" t="s">
        <v>254</v>
      </c>
      <c r="F6" s="95">
        <f>F7/(30-B8-F10)</f>
        <v>22.848148148148148</v>
      </c>
    </row>
    <row r="7" spans="1:16" ht="14.85" hidden="1" customHeight="1" x14ac:dyDescent="0.2">
      <c r="A7" s="234" t="s">
        <v>249</v>
      </c>
      <c r="B7" s="95">
        <f>B14</f>
        <v>0</v>
      </c>
      <c r="C7" s="1" t="s">
        <v>196</v>
      </c>
      <c r="D7" s="267">
        <f>F5</f>
        <v>0</v>
      </c>
      <c r="E7" s="43" t="s">
        <v>252</v>
      </c>
      <c r="F7" s="95">
        <f>B15</f>
        <v>616.9</v>
      </c>
    </row>
    <row r="8" spans="1:16" ht="14.85" hidden="1" customHeight="1" thickBot="1" x14ac:dyDescent="0.25">
      <c r="A8" s="234" t="s">
        <v>226</v>
      </c>
      <c r="B8" s="1">
        <f>D10</f>
        <v>0</v>
      </c>
      <c r="C8" s="405" t="str">
        <f>IF(ABS(D2-B3-B5-D3-D4-D5-B6-B7)&lt;0.01,"",D2-B3-B5-D3-D4-D5-B6-B7)</f>
        <v/>
      </c>
      <c r="D8" s="406"/>
    </row>
    <row r="9" spans="1:16" ht="14.85" customHeight="1" x14ac:dyDescent="0.2">
      <c r="A9" s="231" t="s">
        <v>59</v>
      </c>
      <c r="B9" s="255">
        <v>5361.51</v>
      </c>
      <c r="C9" s="226" t="s">
        <v>309</v>
      </c>
      <c r="D9" s="255">
        <v>3678.58</v>
      </c>
      <c r="E9" s="226" t="s">
        <v>235</v>
      </c>
      <c r="F9" s="244">
        <v>12924.53</v>
      </c>
      <c r="J9" s="43" t="s">
        <v>86</v>
      </c>
      <c r="K9" s="95">
        <f>D3</f>
        <v>4396.04</v>
      </c>
      <c r="L9" s="43" t="s">
        <v>210</v>
      </c>
      <c r="M9" s="95">
        <f>D2-M1</f>
        <v>4697.2299999999996</v>
      </c>
      <c r="N9" s="43" t="s">
        <v>279</v>
      </c>
      <c r="O9" s="95">
        <f>B6+B7+B5</f>
        <v>3080.28</v>
      </c>
    </row>
    <row r="10" spans="1:16" ht="14.85" customHeight="1" thickBot="1" x14ac:dyDescent="0.25">
      <c r="A10" s="236" t="s">
        <v>70</v>
      </c>
      <c r="B10" s="257">
        <v>7777.51</v>
      </c>
      <c r="C10" s="228" t="s">
        <v>226</v>
      </c>
      <c r="D10" s="254">
        <v>0</v>
      </c>
      <c r="E10" s="228" t="s">
        <v>292</v>
      </c>
      <c r="F10" s="272">
        <v>3</v>
      </c>
      <c r="J10" s="43"/>
      <c r="K10" s="95"/>
      <c r="L10" s="279"/>
      <c r="N10" s="43" t="s">
        <v>236</v>
      </c>
      <c r="O10" s="368">
        <f ca="1">F3</f>
        <v>131.42999999999984</v>
      </c>
      <c r="P10" s="315"/>
    </row>
    <row r="11" spans="1:16" ht="14.85" customHeight="1" x14ac:dyDescent="0.2">
      <c r="A11" s="231" t="s">
        <v>282</v>
      </c>
      <c r="B11" s="255">
        <v>301.19</v>
      </c>
      <c r="C11" s="226" t="s">
        <v>86</v>
      </c>
      <c r="D11" s="244">
        <v>4396.04</v>
      </c>
      <c r="L11" s="279"/>
      <c r="N11" s="43" t="s">
        <v>30</v>
      </c>
      <c r="O11" s="95">
        <f>B2-D2</f>
        <v>-2416</v>
      </c>
    </row>
    <row r="12" spans="1:16" ht="14.85" hidden="1" customHeight="1" thickBot="1" x14ac:dyDescent="0.25">
      <c r="A12" s="236"/>
      <c r="B12" s="256"/>
      <c r="D12" s="273"/>
      <c r="L12" s="279"/>
    </row>
    <row r="13" spans="1:16" ht="14.85" customHeight="1" thickBot="1" x14ac:dyDescent="0.25">
      <c r="A13" s="236" t="s">
        <v>279</v>
      </c>
      <c r="B13" s="257">
        <v>3080.28</v>
      </c>
      <c r="C13" s="228"/>
      <c r="D13" s="274" t="str">
        <f>C8</f>
        <v/>
      </c>
      <c r="L13" s="279"/>
      <c r="N13" s="43" t="s">
        <v>318</v>
      </c>
      <c r="O13" s="95">
        <f>O11+B11+B13</f>
        <v>965.47000000000025</v>
      </c>
    </row>
    <row r="14" spans="1:16" ht="14.85" hidden="1" customHeight="1" x14ac:dyDescent="0.2">
      <c r="B14" s="95"/>
      <c r="L14" s="279"/>
    </row>
    <row r="15" spans="1:16" ht="14.85" customHeight="1" x14ac:dyDescent="0.2">
      <c r="A15" s="43" t="s">
        <v>252</v>
      </c>
      <c r="B15" s="242">
        <v>616.9</v>
      </c>
      <c r="L15" s="279"/>
    </row>
    <row r="16" spans="1:16" ht="14.85" customHeight="1" x14ac:dyDescent="0.2">
      <c r="K16" s="276"/>
      <c r="L16" s="279"/>
    </row>
    <row r="17" spans="1:12" ht="14.85" customHeight="1" x14ac:dyDescent="0.2">
      <c r="A17" s="310" t="s">
        <v>86</v>
      </c>
      <c r="B17" s="309" t="s">
        <v>310</v>
      </c>
      <c r="C17" s="280">
        <v>3019.6</v>
      </c>
    </row>
    <row r="18" spans="1:12" ht="14.85" customHeight="1" x14ac:dyDescent="0.2">
      <c r="A18" s="310" t="s">
        <v>16</v>
      </c>
      <c r="B18" s="276" t="s">
        <v>313</v>
      </c>
      <c r="C18" s="280">
        <v>881.22</v>
      </c>
      <c r="K18" s="280"/>
      <c r="L18" s="279"/>
    </row>
    <row r="19" spans="1:12" ht="14.85" customHeight="1" x14ac:dyDescent="0.2">
      <c r="A19" s="310" t="s">
        <v>16</v>
      </c>
      <c r="B19" s="276" t="s">
        <v>314</v>
      </c>
      <c r="C19" s="280">
        <v>383.4</v>
      </c>
    </row>
    <row r="20" spans="1:12" ht="14.85" customHeight="1" x14ac:dyDescent="0.2">
      <c r="A20" s="310" t="s">
        <v>86</v>
      </c>
      <c r="B20" s="276" t="s">
        <v>311</v>
      </c>
      <c r="C20" s="280">
        <v>354.99</v>
      </c>
    </row>
    <row r="21" spans="1:12" ht="14.85" customHeight="1" x14ac:dyDescent="0.2">
      <c r="A21" s="310" t="s">
        <v>86</v>
      </c>
      <c r="B21" s="276" t="s">
        <v>312</v>
      </c>
      <c r="C21" s="280">
        <v>160</v>
      </c>
    </row>
    <row r="22" spans="1:12" ht="14.85" customHeight="1" x14ac:dyDescent="0.2">
      <c r="A22" s="310" t="s">
        <v>16</v>
      </c>
      <c r="B22" s="276" t="s">
        <v>315</v>
      </c>
      <c r="C22" s="280">
        <v>515</v>
      </c>
    </row>
    <row r="23" spans="1:12" ht="14.85" customHeight="1" x14ac:dyDescent="0.2">
      <c r="A23" s="310" t="s">
        <v>16</v>
      </c>
      <c r="B23" s="276" t="s">
        <v>316</v>
      </c>
      <c r="C23" s="280">
        <v>407</v>
      </c>
    </row>
    <row r="24" spans="1:12" ht="14.85" customHeight="1" x14ac:dyDescent="0.2">
      <c r="A24" s="310" t="s">
        <v>16</v>
      </c>
      <c r="B24" s="276" t="s">
        <v>317</v>
      </c>
      <c r="C24" s="280">
        <v>158.36000000000001</v>
      </c>
    </row>
    <row r="27" spans="1:12" ht="14.85" customHeight="1" x14ac:dyDescent="0.2">
      <c r="A27" s="276"/>
      <c r="B27" s="276"/>
    </row>
    <row r="28" spans="1:12" ht="14.85" customHeight="1" x14ac:dyDescent="0.2">
      <c r="A28" s="276"/>
      <c r="B28" s="276"/>
    </row>
    <row r="37" spans="23:23" ht="14.85" customHeight="1" x14ac:dyDescent="0.2">
      <c r="W37" s="43" t="s">
        <v>277</v>
      </c>
    </row>
    <row r="53" spans="3:3" ht="14.85" customHeight="1" x14ac:dyDescent="0.2">
      <c r="C53" s="43" t="s">
        <v>277</v>
      </c>
    </row>
  </sheetData>
  <autoFilter ref="A16:C16" xr:uid="{2B266C6B-0B71-4081-956C-E554865C3BC9}"/>
  <mergeCells count="6">
    <mergeCell ref="C8:D8"/>
    <mergeCell ref="A1:F1"/>
    <mergeCell ref="G2:G3"/>
    <mergeCell ref="H2:H3"/>
    <mergeCell ref="I2:I3"/>
    <mergeCell ref="G4:I5"/>
  </mergeCells>
  <phoneticPr fontId="4" type="noConversion"/>
  <conditionalFormatting sqref="D12:D13">
    <cfRule type="expression" dxfId="30" priority="8">
      <formula>"$E$10&lt;-0.01"</formula>
    </cfRule>
    <cfRule type="expression" dxfId="29" priority="9">
      <formula>"$E$10&gt;0.01"</formula>
    </cfRule>
  </conditionalFormatting>
  <conditionalFormatting sqref="H1:H8 H17:H1048576 K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7:B28 K16 C17:C2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C24">
    <cfRule type="colorScale" priority="4">
      <colorScale>
        <cfvo type="min"/>
        <cfvo type="max"/>
        <color rgb="FFFCFCFF"/>
        <color rgb="FFF8696B"/>
      </colorScale>
    </cfRule>
  </conditionalFormatting>
  <conditionalFormatting sqref="A17:A24">
    <cfRule type="containsText" dxfId="28" priority="3" operator="containsText" text="消费">
      <formula>NOT(ISERROR(SEARCH("消费",A17)))</formula>
    </cfRule>
  </conditionalFormatting>
  <conditionalFormatting sqref="O10">
    <cfRule type="cellIs" dxfId="27" priority="1" operator="greaterThan">
      <formula>$N$1</formula>
    </cfRule>
    <cfRule type="cellIs" dxfId="26" priority="2" operator="lessThan">
      <formula>P10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B91A6-ED6C-4C7E-ABCC-77EFD85C0745}">
  <sheetPr codeName="Sheet29"/>
  <dimension ref="A1:M53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0" style="43" customWidth="1"/>
    <col min="2" max="2" width="6.125" style="43" customWidth="1"/>
    <col min="3" max="3" width="8.75" style="43" customWidth="1"/>
    <col min="4" max="4" width="5.25" style="43" customWidth="1"/>
    <col min="5" max="5" width="9" style="43" customWidth="1"/>
    <col min="6" max="6" width="7.375" style="43" customWidth="1"/>
    <col min="7" max="7" width="15.25" style="276" hidden="1" customWidth="1"/>
    <col min="8" max="8" width="8.5" style="276" hidden="1" customWidth="1"/>
    <col min="9" max="9" width="8.5" style="43" hidden="1" customWidth="1"/>
    <col min="10" max="10" width="18.375" style="276" customWidth="1"/>
    <col min="11" max="12" width="8.5" style="43" customWidth="1"/>
    <col min="13" max="13" width="6.75" style="43" customWidth="1"/>
    <col min="14" max="16384" width="8.75" style="43"/>
  </cols>
  <sheetData>
    <row r="1" spans="1:13" ht="23.85" customHeight="1" thickBot="1" x14ac:dyDescent="0.25">
      <c r="A1" s="407" t="s">
        <v>291</v>
      </c>
      <c r="B1" s="407"/>
      <c r="C1" s="407"/>
      <c r="D1" s="407"/>
      <c r="E1" s="407"/>
      <c r="F1" s="407"/>
      <c r="G1" s="275"/>
      <c r="H1" s="277"/>
      <c r="I1" s="205"/>
    </row>
    <row r="2" spans="1:13" ht="14.85" hidden="1" customHeight="1" x14ac:dyDescent="0.2">
      <c r="A2" s="268" t="s">
        <v>5</v>
      </c>
      <c r="B2" s="269">
        <f>B9</f>
        <v>7406.55</v>
      </c>
      <c r="C2" s="270" t="s">
        <v>29</v>
      </c>
      <c r="D2" s="271">
        <f>B10</f>
        <v>8725.5400000000009</v>
      </c>
      <c r="E2" s="43" t="s">
        <v>235</v>
      </c>
      <c r="F2" s="64">
        <f>F9</f>
        <v>21831.64</v>
      </c>
      <c r="G2" s="413" t="s">
        <v>139</v>
      </c>
      <c r="H2" s="414">
        <f ca="1">F3/F2/30*365*100</f>
        <v>0.82089572748543049</v>
      </c>
      <c r="I2" s="410" t="s">
        <v>62</v>
      </c>
      <c r="K2" s="95"/>
    </row>
    <row r="3" spans="1:13" ht="14.85" hidden="1" customHeight="1" x14ac:dyDescent="0.2">
      <c r="A3" s="227" t="s">
        <v>198</v>
      </c>
      <c r="B3" s="88">
        <f>B11</f>
        <v>2500.37</v>
      </c>
      <c r="C3" s="222" t="s">
        <v>86</v>
      </c>
      <c r="D3" s="88">
        <f>F11</f>
        <v>2157.14</v>
      </c>
      <c r="E3" s="43" t="s">
        <v>236</v>
      </c>
      <c r="F3" s="84" cm="1">
        <f t="array" aca="1" ref="F3" ca="1">F4-NxtSheet(F4)</f>
        <v>14.730000000000018</v>
      </c>
      <c r="G3" s="413"/>
      <c r="H3" s="414"/>
      <c r="I3" s="410"/>
      <c r="K3" s="95"/>
    </row>
    <row r="4" spans="1:13" ht="14.85" hidden="1" customHeight="1" x14ac:dyDescent="0.2">
      <c r="A4" s="227" t="s">
        <v>225</v>
      </c>
      <c r="B4" s="88">
        <f>(B6+B7)/(30-B8)*30</f>
        <v>2877.59</v>
      </c>
      <c r="C4" s="222" t="s">
        <v>197</v>
      </c>
      <c r="D4" s="88">
        <f>D13</f>
        <v>499.04</v>
      </c>
      <c r="E4" s="43" t="s">
        <v>189</v>
      </c>
      <c r="F4" s="95">
        <f>D9</f>
        <v>3547.15</v>
      </c>
      <c r="G4" s="375"/>
      <c r="H4" s="375"/>
      <c r="I4" s="411"/>
      <c r="K4" s="95"/>
    </row>
    <row r="5" spans="1:13" ht="14.85" hidden="1" customHeight="1" thickBot="1" x14ac:dyDescent="0.25">
      <c r="A5" s="229" t="s">
        <v>131</v>
      </c>
      <c r="B5" s="88">
        <f>B16</f>
        <v>0</v>
      </c>
      <c r="C5" s="223" t="s">
        <v>196</v>
      </c>
      <c r="D5" s="88">
        <f>D6+D7</f>
        <v>691.4</v>
      </c>
      <c r="E5" s="228"/>
      <c r="F5" s="228"/>
      <c r="G5" s="376"/>
      <c r="H5" s="376"/>
      <c r="I5" s="412"/>
      <c r="K5" s="95"/>
    </row>
    <row r="6" spans="1:13" ht="14.85" hidden="1" customHeight="1" x14ac:dyDescent="0.2">
      <c r="A6" s="231" t="s">
        <v>138</v>
      </c>
      <c r="B6" s="265">
        <f>B13</f>
        <v>2877.59</v>
      </c>
      <c r="C6" s="226" t="s">
        <v>248</v>
      </c>
      <c r="D6" s="266">
        <f>D12</f>
        <v>0</v>
      </c>
      <c r="E6" s="43" t="s">
        <v>254</v>
      </c>
      <c r="F6" s="95">
        <f>F7/(30-B8-F10)</f>
        <v>20.7456</v>
      </c>
    </row>
    <row r="7" spans="1:13" ht="14.85" hidden="1" customHeight="1" x14ac:dyDescent="0.2">
      <c r="A7" s="234" t="s">
        <v>249</v>
      </c>
      <c r="B7" s="95">
        <f>B14</f>
        <v>0</v>
      </c>
      <c r="C7" s="1" t="s">
        <v>196</v>
      </c>
      <c r="D7" s="267">
        <f>D11</f>
        <v>691.4</v>
      </c>
      <c r="E7" s="43" t="s">
        <v>252</v>
      </c>
      <c r="F7" s="95">
        <f>B15</f>
        <v>518.64</v>
      </c>
    </row>
    <row r="8" spans="1:13" ht="14.85" hidden="1" customHeight="1" thickBot="1" x14ac:dyDescent="0.25">
      <c r="A8" s="234" t="s">
        <v>226</v>
      </c>
      <c r="B8" s="1">
        <f>D10</f>
        <v>0</v>
      </c>
      <c r="C8" s="405" t="str">
        <f>IF(ABS(D2-B3-B5-D3-D4-D5-B6-B7)&lt;0.01,"",D2-B3-B5-D3-D4-D5-B6-B7)</f>
        <v/>
      </c>
      <c r="D8" s="406"/>
    </row>
    <row r="9" spans="1:13" ht="14.85" customHeight="1" x14ac:dyDescent="0.2">
      <c r="A9" s="231" t="s">
        <v>59</v>
      </c>
      <c r="B9" s="255">
        <v>7406.55</v>
      </c>
      <c r="C9" s="226" t="s">
        <v>309</v>
      </c>
      <c r="D9" s="255">
        <v>3547.15</v>
      </c>
      <c r="E9" s="226" t="s">
        <v>235</v>
      </c>
      <c r="F9" s="244">
        <v>21831.64</v>
      </c>
      <c r="J9" s="276" t="s">
        <v>300</v>
      </c>
      <c r="K9" s="280">
        <v>3250.79</v>
      </c>
      <c r="L9" s="278">
        <f>K9/1000</f>
        <v>3.2507899999999998</v>
      </c>
      <c r="M9" s="279"/>
    </row>
    <row r="10" spans="1:13" ht="14.85" customHeight="1" thickBot="1" x14ac:dyDescent="0.25">
      <c r="A10" s="236" t="s">
        <v>70</v>
      </c>
      <c r="B10" s="257">
        <v>8725.5400000000009</v>
      </c>
      <c r="C10" s="228" t="s">
        <v>226</v>
      </c>
      <c r="D10" s="254">
        <v>0</v>
      </c>
      <c r="E10" s="228" t="s">
        <v>292</v>
      </c>
      <c r="F10" s="272">
        <v>5</v>
      </c>
      <c r="J10" s="276" t="s">
        <v>294</v>
      </c>
      <c r="K10" s="276">
        <v>1740</v>
      </c>
      <c r="L10" s="278">
        <f>L9+(K10)/1000</f>
        <v>4.9907899999999996</v>
      </c>
      <c r="M10" s="279"/>
    </row>
    <row r="11" spans="1:13" ht="14.85" customHeight="1" x14ac:dyDescent="0.2">
      <c r="A11" s="231" t="s">
        <v>282</v>
      </c>
      <c r="B11" s="255">
        <v>2500.37</v>
      </c>
      <c r="C11" s="226" t="s">
        <v>283</v>
      </c>
      <c r="D11" s="255">
        <v>691.4</v>
      </c>
      <c r="E11" s="226" t="s">
        <v>86</v>
      </c>
      <c r="F11" s="244">
        <v>2157.14</v>
      </c>
      <c r="J11" s="276" t="s">
        <v>301</v>
      </c>
      <c r="K11" s="276">
        <v>670</v>
      </c>
      <c r="L11" s="278">
        <f t="shared" ref="L11:L16" si="0">L10+(K11)/1000</f>
        <v>5.6607899999999995</v>
      </c>
      <c r="M11" s="279"/>
    </row>
    <row r="12" spans="1:13" ht="14.85" hidden="1" customHeight="1" thickBot="1" x14ac:dyDescent="0.25">
      <c r="A12" s="236"/>
      <c r="B12" s="256"/>
      <c r="C12" s="228"/>
      <c r="D12" s="228"/>
      <c r="F12" s="273"/>
      <c r="J12" s="276" t="s">
        <v>295</v>
      </c>
      <c r="K12" s="276">
        <v>0.27</v>
      </c>
      <c r="L12" s="278">
        <f t="shared" si="0"/>
        <v>5.66106</v>
      </c>
      <c r="M12" s="279"/>
    </row>
    <row r="13" spans="1:13" ht="14.85" customHeight="1" thickBot="1" x14ac:dyDescent="0.25">
      <c r="A13" s="236" t="s">
        <v>279</v>
      </c>
      <c r="B13" s="257">
        <v>2877.59</v>
      </c>
      <c r="C13" s="228" t="s">
        <v>281</v>
      </c>
      <c r="D13" s="257">
        <v>499.04</v>
      </c>
      <c r="E13" s="228"/>
      <c r="F13" s="274" t="str">
        <f>C8</f>
        <v/>
      </c>
      <c r="J13" s="276" t="s">
        <v>296</v>
      </c>
      <c r="K13" s="276">
        <v>400</v>
      </c>
      <c r="L13" s="278">
        <f t="shared" si="0"/>
        <v>6.0610600000000003</v>
      </c>
      <c r="M13" s="279"/>
    </row>
    <row r="14" spans="1:13" ht="14.85" hidden="1" customHeight="1" x14ac:dyDescent="0.2">
      <c r="B14" s="95"/>
      <c r="J14" s="276" t="s">
        <v>297</v>
      </c>
      <c r="K14" s="276">
        <v>0.25</v>
      </c>
      <c r="L14" s="278">
        <f t="shared" si="0"/>
        <v>6.0613100000000006</v>
      </c>
      <c r="M14" s="279"/>
    </row>
    <row r="15" spans="1:13" ht="14.85" customHeight="1" x14ac:dyDescent="0.2">
      <c r="A15" s="43" t="s">
        <v>252</v>
      </c>
      <c r="B15" s="242">
        <v>518.64</v>
      </c>
      <c r="J15" s="276" t="s">
        <v>299</v>
      </c>
      <c r="K15" s="276">
        <v>300</v>
      </c>
      <c r="L15" s="278">
        <f t="shared" si="0"/>
        <v>6.3613100000000005</v>
      </c>
      <c r="M15" s="279"/>
    </row>
    <row r="16" spans="1:13" ht="14.85" customHeight="1" x14ac:dyDescent="0.2">
      <c r="B16" s="95"/>
      <c r="J16" s="276" t="s">
        <v>298</v>
      </c>
      <c r="K16" s="276">
        <v>200</v>
      </c>
      <c r="L16" s="278">
        <f t="shared" si="0"/>
        <v>6.5613100000000006</v>
      </c>
      <c r="M16" s="279"/>
    </row>
    <row r="17" spans="1:13" ht="14.85" customHeight="1" x14ac:dyDescent="0.2">
      <c r="A17" s="43" t="s">
        <v>16</v>
      </c>
      <c r="B17" s="95">
        <f>B3+B5+B6+B7</f>
        <v>5377.96</v>
      </c>
      <c r="C17" s="43" t="s">
        <v>267</v>
      </c>
      <c r="D17" s="95">
        <f>B5+B6+B7+D4</f>
        <v>3376.63</v>
      </c>
    </row>
    <row r="18" spans="1:13" ht="14.85" customHeight="1" x14ac:dyDescent="0.2">
      <c r="A18" s="43" t="s">
        <v>86</v>
      </c>
      <c r="B18" s="95">
        <f>D3</f>
        <v>2157.14</v>
      </c>
      <c r="C18" s="43" t="s">
        <v>210</v>
      </c>
      <c r="D18" s="95">
        <f>D2-D17</f>
        <v>5348.9100000000008</v>
      </c>
      <c r="K18" s="280"/>
      <c r="L18" s="95"/>
      <c r="M18" s="279"/>
    </row>
    <row r="19" spans="1:13" ht="14.85" customHeight="1" x14ac:dyDescent="0.2">
      <c r="A19" s="43" t="s">
        <v>238</v>
      </c>
      <c r="B19" s="95">
        <f>D4+D6+D7</f>
        <v>1190.44</v>
      </c>
    </row>
    <row r="29" spans="1:13" ht="14.85" customHeight="1" x14ac:dyDescent="0.2">
      <c r="A29" s="43" t="s">
        <v>279</v>
      </c>
      <c r="B29" s="95">
        <f>B6+B7+B5</f>
        <v>2877.59</v>
      </c>
      <c r="C29" s="43" t="s">
        <v>236</v>
      </c>
      <c r="D29" s="95">
        <f ca="1">F3</f>
        <v>14.730000000000018</v>
      </c>
      <c r="E29" s="43" t="s">
        <v>30</v>
      </c>
      <c r="F29" s="95">
        <f>B2-D2</f>
        <v>-1318.9900000000007</v>
      </c>
    </row>
    <row r="53" spans="3:3" ht="14.85" customHeight="1" x14ac:dyDescent="0.2">
      <c r="C53" s="43" t="s">
        <v>277</v>
      </c>
    </row>
  </sheetData>
  <mergeCells count="6">
    <mergeCell ref="A1:F1"/>
    <mergeCell ref="C8:D8"/>
    <mergeCell ref="G2:G3"/>
    <mergeCell ref="H2:H3"/>
    <mergeCell ref="I2:I3"/>
    <mergeCell ref="G4:I5"/>
  </mergeCells>
  <phoneticPr fontId="4" type="noConversion"/>
  <conditionalFormatting sqref="F12:F13">
    <cfRule type="expression" dxfId="25" priority="2">
      <formula>"$E$10&lt;-0.01"</formula>
    </cfRule>
    <cfRule type="expression" dxfId="24" priority="3">
      <formula>"$E$10&gt;0.01"</formula>
    </cfRule>
  </conditionalFormatting>
  <conditionalFormatting sqref="H1:H8 H17:H1048576 K18 K9:K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18A7-5870-41A2-9594-8D86B9B5B370}">
  <sheetPr codeName="Sheet28"/>
  <dimension ref="A1:K16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6" style="43" customWidth="1"/>
    <col min="2" max="2" width="7.375" style="43" customWidth="1"/>
    <col min="3" max="3" width="12" style="43" customWidth="1"/>
    <col min="4" max="4" width="6.75" style="43" customWidth="1"/>
    <col min="5" max="5" width="13.375" style="43" customWidth="1"/>
    <col min="6" max="6" width="6.37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thickBot="1" x14ac:dyDescent="0.25">
      <c r="A1" s="419" t="s">
        <v>278</v>
      </c>
      <c r="B1" s="419"/>
      <c r="C1" s="419"/>
      <c r="D1" s="419"/>
      <c r="E1" s="419"/>
      <c r="F1" s="419"/>
      <c r="G1" s="419"/>
      <c r="H1" s="419"/>
      <c r="I1" s="419"/>
    </row>
    <row r="2" spans="1:11" ht="14.85" hidden="1" customHeight="1" x14ac:dyDescent="0.2">
      <c r="A2" s="224" t="s">
        <v>5</v>
      </c>
      <c r="B2" s="251">
        <f>B9</f>
        <v>4827.57</v>
      </c>
      <c r="C2" s="225" t="s">
        <v>29</v>
      </c>
      <c r="D2" s="252">
        <f>B10</f>
        <v>6133.92</v>
      </c>
      <c r="E2" s="226" t="s">
        <v>235</v>
      </c>
      <c r="F2" s="199">
        <f>F9</f>
        <v>15252.87</v>
      </c>
      <c r="G2" s="420" t="s">
        <v>139</v>
      </c>
      <c r="H2" s="422">
        <f>F3/F2/30*365*100</f>
        <v>52.916238058804652</v>
      </c>
      <c r="I2" s="424" t="s">
        <v>62</v>
      </c>
      <c r="K2" s="95"/>
    </row>
    <row r="3" spans="1:11" ht="14.85" hidden="1" customHeight="1" x14ac:dyDescent="0.2">
      <c r="A3" s="227" t="s">
        <v>198</v>
      </c>
      <c r="B3" s="221">
        <f>B11</f>
        <v>884.57</v>
      </c>
      <c r="C3" s="222" t="s">
        <v>86</v>
      </c>
      <c r="D3" s="221">
        <f>F11</f>
        <v>1020.21</v>
      </c>
      <c r="E3" s="43" t="s">
        <v>236</v>
      </c>
      <c r="F3" s="84">
        <f>0.91+7.45+655.03</f>
        <v>663.39</v>
      </c>
      <c r="G3" s="421"/>
      <c r="H3" s="423"/>
      <c r="I3" s="410"/>
      <c r="K3" s="95"/>
    </row>
    <row r="4" spans="1:11" ht="14.85" hidden="1" customHeight="1" x14ac:dyDescent="0.2">
      <c r="A4" s="227" t="s">
        <v>225</v>
      </c>
      <c r="B4" s="88">
        <f>(B6+B7)/(30-B8)*30</f>
        <v>1534.1849999999999</v>
      </c>
      <c r="C4" s="222" t="s">
        <v>197</v>
      </c>
      <c r="D4" s="221">
        <f>D13</f>
        <v>205.5</v>
      </c>
      <c r="E4" s="43" t="s">
        <v>189</v>
      </c>
      <c r="F4" s="242">
        <f>D9</f>
        <v>3532.42</v>
      </c>
      <c r="G4" s="375"/>
      <c r="H4" s="375"/>
      <c r="I4" s="411"/>
      <c r="K4" s="95"/>
    </row>
    <row r="5" spans="1:11" ht="14.85" hidden="1" customHeight="1" thickBot="1" x14ac:dyDescent="0.25">
      <c r="A5" s="229" t="s">
        <v>131</v>
      </c>
      <c r="B5" s="221">
        <f>B16</f>
        <v>1165.08</v>
      </c>
      <c r="C5" s="223" t="s">
        <v>196</v>
      </c>
      <c r="D5" s="88">
        <f>D6+D7</f>
        <v>1835.77</v>
      </c>
      <c r="E5" s="228"/>
      <c r="F5" s="228"/>
      <c r="G5" s="376"/>
      <c r="H5" s="376"/>
      <c r="I5" s="412"/>
      <c r="K5" s="95"/>
    </row>
    <row r="6" spans="1:11" ht="14.85" hidden="1" customHeight="1" x14ac:dyDescent="0.2">
      <c r="A6" s="231" t="s">
        <v>138</v>
      </c>
      <c r="B6" s="232">
        <f>B13</f>
        <v>1022.79</v>
      </c>
      <c r="C6" s="226" t="s">
        <v>248</v>
      </c>
      <c r="D6" s="244">
        <f>D12</f>
        <v>0</v>
      </c>
      <c r="E6" s="43" t="s">
        <v>254</v>
      </c>
      <c r="F6" s="95">
        <f>F7/(30-B8)</f>
        <v>17.869</v>
      </c>
    </row>
    <row r="7" spans="1:11" ht="14.85" hidden="1" customHeight="1" x14ac:dyDescent="0.2">
      <c r="A7" s="234" t="s">
        <v>249</v>
      </c>
      <c r="B7" s="242">
        <f>B14</f>
        <v>0</v>
      </c>
      <c r="C7" s="1" t="s">
        <v>196</v>
      </c>
      <c r="D7" s="235">
        <f>D11</f>
        <v>1835.77</v>
      </c>
      <c r="E7" s="43" t="s">
        <v>252</v>
      </c>
      <c r="F7" s="242">
        <f>B15</f>
        <v>357.38</v>
      </c>
    </row>
    <row r="8" spans="1:11" ht="14.85" hidden="1" customHeight="1" thickBot="1" x14ac:dyDescent="0.25">
      <c r="A8" s="234" t="s">
        <v>226</v>
      </c>
      <c r="B8" s="152">
        <f>D10</f>
        <v>10</v>
      </c>
      <c r="C8" s="417" t="str">
        <f>IF(ABS(D2-B3-B5-D3-D4-D5-B6-B7)&lt;0.01,"",D2-B3-B5-D3-D4-D5-B6-B7)</f>
        <v/>
      </c>
      <c r="D8" s="418"/>
    </row>
    <row r="9" spans="1:11" ht="14.85" customHeight="1" x14ac:dyDescent="0.2">
      <c r="A9" s="231" t="s">
        <v>59</v>
      </c>
      <c r="B9" s="255">
        <v>4827.57</v>
      </c>
      <c r="C9" s="226" t="s">
        <v>189</v>
      </c>
      <c r="D9" s="255">
        <v>3532.42</v>
      </c>
      <c r="E9" s="226" t="s">
        <v>235</v>
      </c>
      <c r="F9" s="244">
        <v>15252.87</v>
      </c>
      <c r="G9" s="43" t="s">
        <v>16</v>
      </c>
      <c r="H9" s="95">
        <f>B3+B5+B6+B7</f>
        <v>3072.44</v>
      </c>
      <c r="I9" s="43" t="s">
        <v>267</v>
      </c>
      <c r="J9" s="95">
        <f>B5+B6+B7+D4</f>
        <v>2393.37</v>
      </c>
    </row>
    <row r="10" spans="1:11" ht="14.85" customHeight="1" thickBot="1" x14ac:dyDescent="0.25">
      <c r="A10" s="236" t="s">
        <v>70</v>
      </c>
      <c r="B10" s="257">
        <v>6133.92</v>
      </c>
      <c r="C10" s="228" t="s">
        <v>226</v>
      </c>
      <c r="D10" s="254">
        <v>10</v>
      </c>
      <c r="E10" s="415" t="str">
        <f>C8</f>
        <v/>
      </c>
      <c r="F10" s="416"/>
      <c r="G10" s="43" t="s">
        <v>86</v>
      </c>
      <c r="H10" s="95">
        <f>D3</f>
        <v>1020.21</v>
      </c>
      <c r="I10" s="43" t="s">
        <v>210</v>
      </c>
      <c r="J10" s="95">
        <f>D2-J9</f>
        <v>3740.55</v>
      </c>
    </row>
    <row r="11" spans="1:11" ht="14.85" customHeight="1" x14ac:dyDescent="0.2">
      <c r="A11" s="231" t="s">
        <v>282</v>
      </c>
      <c r="B11" s="255">
        <v>884.57</v>
      </c>
      <c r="C11" s="226" t="s">
        <v>283</v>
      </c>
      <c r="D11" s="255">
        <v>1835.77</v>
      </c>
      <c r="E11" s="226" t="s">
        <v>86</v>
      </c>
      <c r="F11" s="244">
        <v>1020.21</v>
      </c>
      <c r="G11" s="43" t="s">
        <v>238</v>
      </c>
      <c r="H11" s="95">
        <f>D4+D6+D7</f>
        <v>2041.27</v>
      </c>
    </row>
    <row r="12" spans="1:11" ht="14.85" customHeight="1" thickBot="1" x14ac:dyDescent="0.25">
      <c r="A12" s="236"/>
      <c r="B12" s="256"/>
      <c r="C12" s="228" t="s">
        <v>248</v>
      </c>
      <c r="D12" s="254">
        <v>0</v>
      </c>
      <c r="E12" s="228"/>
      <c r="F12" s="253"/>
    </row>
    <row r="13" spans="1:11" ht="14.85" customHeight="1" x14ac:dyDescent="0.2">
      <c r="A13" s="43" t="s">
        <v>138</v>
      </c>
      <c r="B13" s="242">
        <f>1022.79</f>
        <v>1022.79</v>
      </c>
      <c r="C13" s="43" t="s">
        <v>281</v>
      </c>
      <c r="D13" s="242">
        <v>205.5</v>
      </c>
    </row>
    <row r="14" spans="1:11" ht="14.85" customHeight="1" x14ac:dyDescent="0.2">
      <c r="A14" s="43" t="s">
        <v>249</v>
      </c>
      <c r="B14" s="242">
        <v>0</v>
      </c>
    </row>
    <row r="15" spans="1:11" ht="14.85" customHeight="1" x14ac:dyDescent="0.2">
      <c r="A15" s="43" t="s">
        <v>252</v>
      </c>
      <c r="B15" s="242">
        <v>357.38</v>
      </c>
    </row>
    <row r="16" spans="1:11" ht="14.85" customHeight="1" x14ac:dyDescent="0.2">
      <c r="A16" s="43" t="s">
        <v>131</v>
      </c>
      <c r="B16" s="242">
        <v>1165.08</v>
      </c>
    </row>
  </sheetData>
  <mergeCells count="7">
    <mergeCell ref="E10:F10"/>
    <mergeCell ref="C8:D8"/>
    <mergeCell ref="A1:I1"/>
    <mergeCell ref="G2:G3"/>
    <mergeCell ref="H2:H3"/>
    <mergeCell ref="I2:I3"/>
    <mergeCell ref="G4:I5"/>
  </mergeCells>
  <phoneticPr fontId="4" type="noConversion"/>
  <conditionalFormatting sqref="E10:F10">
    <cfRule type="expression" dxfId="23" priority="1">
      <formula>"$E$10&lt;-0.01"</formula>
    </cfRule>
    <cfRule type="expression" dxfId="22" priority="2">
      <formula>"$E$10&gt;0.01"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C599-A068-4324-BBD7-4BC194C378A5}">
  <sheetPr codeName="Sheet27"/>
  <dimension ref="A1:K8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6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thickBot="1" x14ac:dyDescent="0.25">
      <c r="A1" s="419" t="s">
        <v>255</v>
      </c>
      <c r="B1" s="419"/>
      <c r="C1" s="419"/>
      <c r="D1" s="419"/>
      <c r="E1" s="419"/>
      <c r="F1" s="419"/>
      <c r="G1" s="419"/>
      <c r="H1" s="419"/>
      <c r="I1" s="419"/>
    </row>
    <row r="2" spans="1:11" ht="14.85" customHeight="1" x14ac:dyDescent="0.2">
      <c r="A2" s="224" t="s">
        <v>5</v>
      </c>
      <c r="B2" s="243">
        <v>6706.29</v>
      </c>
      <c r="C2" s="225" t="s">
        <v>29</v>
      </c>
      <c r="D2" s="237">
        <v>12088.65</v>
      </c>
      <c r="E2" s="226" t="s">
        <v>235</v>
      </c>
      <c r="F2" s="199">
        <f>K2-K3+K4+K5</f>
        <v>16295.69</v>
      </c>
      <c r="G2" s="420" t="s">
        <v>139</v>
      </c>
      <c r="H2" s="422">
        <f ca="1">F3/F2/30*365*100</f>
        <v>63.222923771050297</v>
      </c>
      <c r="I2" s="424" t="s">
        <v>62</v>
      </c>
      <c r="J2" s="43" t="s">
        <v>263</v>
      </c>
      <c r="K2" s="242">
        <v>2636.35</v>
      </c>
    </row>
    <row r="3" spans="1:11" ht="14.85" customHeight="1" x14ac:dyDescent="0.2">
      <c r="A3" s="227" t="s">
        <v>198</v>
      </c>
      <c r="B3" s="221">
        <v>1069.97</v>
      </c>
      <c r="C3" s="222" t="s">
        <v>86</v>
      </c>
      <c r="D3" s="221">
        <v>1879.5</v>
      </c>
      <c r="E3" s="43" t="s">
        <v>236</v>
      </c>
      <c r="F3" s="84" cm="1">
        <f t="array" aca="1" ref="F3" ca="1">F4-NxtSheet(F4)</f>
        <v>846.79000000000008</v>
      </c>
      <c r="G3" s="421"/>
      <c r="H3" s="423"/>
      <c r="I3" s="410"/>
      <c r="J3" s="43" t="s">
        <v>264</v>
      </c>
      <c r="K3" s="242">
        <v>7038.2</v>
      </c>
    </row>
    <row r="4" spans="1:11" ht="14.85" customHeight="1" x14ac:dyDescent="0.2">
      <c r="A4" s="227" t="s">
        <v>225</v>
      </c>
      <c r="B4" s="88">
        <f>(B6+B7)/(30-B8)*30</f>
        <v>1885.5931034482758</v>
      </c>
      <c r="C4" s="222" t="s">
        <v>197</v>
      </c>
      <c r="D4" s="221">
        <v>499</v>
      </c>
      <c r="E4" s="43" t="s">
        <v>189</v>
      </c>
      <c r="F4" s="242">
        <v>1575.2</v>
      </c>
      <c r="G4" s="375"/>
      <c r="H4" s="375"/>
      <c r="I4" s="411"/>
      <c r="J4" s="43" t="s">
        <v>265</v>
      </c>
      <c r="K4" s="242">
        <v>16787.63</v>
      </c>
    </row>
    <row r="5" spans="1:11" ht="14.85" customHeight="1" thickBot="1" x14ac:dyDescent="0.25">
      <c r="A5" s="229" t="s">
        <v>131</v>
      </c>
      <c r="B5" s="221">
        <v>1899.22</v>
      </c>
      <c r="C5" s="223" t="s">
        <v>196</v>
      </c>
      <c r="D5" s="88">
        <f>D6+D7</f>
        <v>4918.2199999999993</v>
      </c>
      <c r="E5" s="228"/>
      <c r="F5" s="228"/>
      <c r="G5" s="376"/>
      <c r="H5" s="376"/>
      <c r="I5" s="412"/>
      <c r="J5" s="43" t="s">
        <v>266</v>
      </c>
      <c r="K5" s="242">
        <f>3501.5+408.41</f>
        <v>3909.91</v>
      </c>
    </row>
    <row r="6" spans="1:11" ht="14.85" customHeight="1" x14ac:dyDescent="0.2">
      <c r="A6" s="231" t="s">
        <v>138</v>
      </c>
      <c r="B6" s="232">
        <v>1328.66</v>
      </c>
      <c r="C6" s="226" t="s">
        <v>248</v>
      </c>
      <c r="D6" s="244">
        <v>4171.1499999999996</v>
      </c>
      <c r="E6" s="43" t="s">
        <v>254</v>
      </c>
      <c r="F6" s="95">
        <f>F7/(30-B8)</f>
        <v>24.861724137931034</v>
      </c>
      <c r="G6" s="43" t="s">
        <v>16</v>
      </c>
      <c r="H6" s="95">
        <f>B3+B5+B6+B7</f>
        <v>4791.93</v>
      </c>
      <c r="I6" s="43" t="s">
        <v>267</v>
      </c>
      <c r="J6" s="95">
        <f>B5+B6+B7+D4</f>
        <v>4220.96</v>
      </c>
    </row>
    <row r="7" spans="1:11" ht="14.85" customHeight="1" x14ac:dyDescent="0.2">
      <c r="A7" s="234" t="s">
        <v>249</v>
      </c>
      <c r="B7" s="242">
        <v>494.08</v>
      </c>
      <c r="C7" s="1" t="s">
        <v>196</v>
      </c>
      <c r="D7" s="235">
        <v>747.07</v>
      </c>
      <c r="E7" s="43" t="s">
        <v>252</v>
      </c>
      <c r="F7" s="242">
        <v>720.99</v>
      </c>
      <c r="G7" s="43" t="s">
        <v>86</v>
      </c>
      <c r="H7" s="95">
        <f>D3</f>
        <v>1879.5</v>
      </c>
      <c r="I7" s="43" t="s">
        <v>210</v>
      </c>
      <c r="J7" s="95">
        <f>D2-J6</f>
        <v>7867.69</v>
      </c>
    </row>
    <row r="8" spans="1:11" ht="14.85" customHeight="1" thickBot="1" x14ac:dyDescent="0.25">
      <c r="A8" s="236" t="s">
        <v>226</v>
      </c>
      <c r="B8" s="200">
        <v>1</v>
      </c>
      <c r="C8" s="425" t="str">
        <f>IF(D2-B3-B5-D3-D4-D5-B6-B7&lt;0.01,"",D2-B3-B5-D3-D4-D5-B6-B7)</f>
        <v/>
      </c>
      <c r="D8" s="426"/>
      <c r="G8" s="43" t="s">
        <v>238</v>
      </c>
      <c r="H8" s="95">
        <f>D4+D6+D7</f>
        <v>5417.2199999999993</v>
      </c>
    </row>
  </sheetData>
  <mergeCells count="6">
    <mergeCell ref="C8:D8"/>
    <mergeCell ref="A1:I1"/>
    <mergeCell ref="G2:G3"/>
    <mergeCell ref="H2:H3"/>
    <mergeCell ref="I2:I3"/>
    <mergeCell ref="G4:I5"/>
  </mergeCells>
  <phoneticPr fontId="4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9F7A0-E7D2-4535-BBB4-C9AACD000F77}">
  <sheetPr codeName="Sheet4"/>
  <dimension ref="A1:K8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6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thickBot="1" x14ac:dyDescent="0.25">
      <c r="A1" s="407" t="s">
        <v>247</v>
      </c>
      <c r="B1" s="407"/>
      <c r="C1" s="407"/>
      <c r="D1" s="407"/>
      <c r="E1" s="407"/>
      <c r="F1" s="407"/>
      <c r="G1" s="407"/>
      <c r="H1" s="407"/>
      <c r="I1" s="407"/>
    </row>
    <row r="2" spans="1:11" ht="14.85" customHeight="1" x14ac:dyDescent="0.2">
      <c r="A2" s="224" t="s">
        <v>5</v>
      </c>
      <c r="B2" s="243">
        <v>9225.27</v>
      </c>
      <c r="C2" s="225" t="s">
        <v>29</v>
      </c>
      <c r="D2" s="237">
        <v>8360.89</v>
      </c>
      <c r="E2" s="226" t="s">
        <v>235</v>
      </c>
      <c r="F2" s="164">
        <v>21827.03</v>
      </c>
      <c r="G2" s="420" t="s">
        <v>139</v>
      </c>
      <c r="H2" s="422">
        <f ca="1">F3/F2/30*365*100</f>
        <v>14.231307084228437</v>
      </c>
      <c r="I2" s="424" t="s">
        <v>62</v>
      </c>
      <c r="K2" s="95"/>
    </row>
    <row r="3" spans="1:11" ht="14.85" customHeight="1" x14ac:dyDescent="0.2">
      <c r="A3" s="227" t="s">
        <v>198</v>
      </c>
      <c r="B3" s="221">
        <v>725.15</v>
      </c>
      <c r="C3" s="222" t="s">
        <v>86</v>
      </c>
      <c r="D3" s="221">
        <v>941.85</v>
      </c>
      <c r="E3" s="43" t="s">
        <v>236</v>
      </c>
      <c r="F3" s="84" cm="1">
        <f t="array" aca="1" ref="F3" ca="1">F4-NxtSheet(F4)</f>
        <v>255.30999999999995</v>
      </c>
      <c r="G3" s="421"/>
      <c r="H3" s="423"/>
      <c r="I3" s="410"/>
    </row>
    <row r="4" spans="1:11" ht="14.85" customHeight="1" x14ac:dyDescent="0.2">
      <c r="A4" s="227" t="s">
        <v>225</v>
      </c>
      <c r="B4" s="88">
        <f>(B6+B7)/(30-B8)*30</f>
        <v>1702.1142857142854</v>
      </c>
      <c r="C4" s="222" t="s">
        <v>197</v>
      </c>
      <c r="D4" s="221">
        <v>7</v>
      </c>
      <c r="E4" s="43" t="s">
        <v>189</v>
      </c>
      <c r="F4" s="242">
        <v>728.41</v>
      </c>
      <c r="G4" s="429"/>
      <c r="H4" s="429"/>
      <c r="I4" s="430"/>
    </row>
    <row r="5" spans="1:11" ht="14.85" customHeight="1" thickBot="1" x14ac:dyDescent="0.25">
      <c r="A5" s="229" t="s">
        <v>131</v>
      </c>
      <c r="B5" s="221">
        <v>5174.1499999999996</v>
      </c>
      <c r="C5" s="223" t="s">
        <v>196</v>
      </c>
      <c r="D5" s="88">
        <f>D6+D7</f>
        <v>1115.5999999999999</v>
      </c>
      <c r="E5" s="228"/>
      <c r="F5" s="228"/>
      <c r="G5" s="431"/>
      <c r="H5" s="431"/>
      <c r="I5" s="432"/>
    </row>
    <row r="6" spans="1:11" ht="14.85" customHeight="1" x14ac:dyDescent="0.2">
      <c r="A6" s="231" t="s">
        <v>138</v>
      </c>
      <c r="B6" s="232">
        <v>278.95999999999998</v>
      </c>
      <c r="C6" s="226" t="s">
        <v>248</v>
      </c>
      <c r="D6" s="233">
        <v>12.35</v>
      </c>
      <c r="F6" s="95"/>
    </row>
    <row r="7" spans="1:11" ht="14.85" customHeight="1" x14ac:dyDescent="0.2">
      <c r="A7" s="234" t="s">
        <v>249</v>
      </c>
      <c r="B7" s="230">
        <v>118.2</v>
      </c>
      <c r="C7" s="1" t="s">
        <v>196</v>
      </c>
      <c r="D7" s="235">
        <v>1103.25</v>
      </c>
    </row>
    <row r="8" spans="1:11" ht="14.85" customHeight="1" thickBot="1" x14ac:dyDescent="0.25">
      <c r="A8" s="236" t="s">
        <v>226</v>
      </c>
      <c r="B8" s="200">
        <f>31-4-3-1</f>
        <v>23</v>
      </c>
      <c r="C8" s="427">
        <f>D2-B3-B5-D3-D4-D5-B6-B7</f>
        <v>-1.999999999965496E-2</v>
      </c>
      <c r="D8" s="428"/>
    </row>
  </sheetData>
  <mergeCells count="6">
    <mergeCell ref="A1:I1"/>
    <mergeCell ref="G2:G3"/>
    <mergeCell ref="H2:H3"/>
    <mergeCell ref="I2:I3"/>
    <mergeCell ref="C8:D8"/>
    <mergeCell ref="G4:I5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EABE-A6E2-4D6F-8E65-6FF1FB5D2F4F}">
  <sheetPr codeName="Sheet5"/>
  <dimension ref="A1:K5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6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x14ac:dyDescent="0.2">
      <c r="A1" s="439" t="s">
        <v>234</v>
      </c>
      <c r="B1" s="439"/>
      <c r="C1" s="439"/>
      <c r="D1" s="439"/>
      <c r="E1" s="439"/>
      <c r="F1" s="439"/>
      <c r="G1" s="439"/>
      <c r="H1" s="439"/>
      <c r="I1" s="439"/>
    </row>
    <row r="2" spans="1:11" ht="14.85" customHeight="1" thickBot="1" x14ac:dyDescent="0.25">
      <c r="A2" s="171" t="s">
        <v>5</v>
      </c>
      <c r="B2" s="172">
        <v>1615.94</v>
      </c>
      <c r="C2" s="169" t="s">
        <v>29</v>
      </c>
      <c r="D2" s="173">
        <v>7284.71</v>
      </c>
      <c r="E2" s="44" t="s">
        <v>235</v>
      </c>
      <c r="F2" s="103">
        <f>1147.87+201.24+8+1012.4-3323.99+11670.58+3494.14+100+407.78</f>
        <v>14718.02</v>
      </c>
      <c r="G2" s="433" t="s">
        <v>139</v>
      </c>
      <c r="H2" s="435">
        <f ca="1">F3/F2/30*365*100</f>
        <v>7.3224749887099874</v>
      </c>
      <c r="I2" s="437" t="s">
        <v>62</v>
      </c>
      <c r="K2" s="95"/>
    </row>
    <row r="3" spans="1:11" ht="14.85" customHeight="1" x14ac:dyDescent="0.2">
      <c r="A3" s="187" t="s">
        <v>198</v>
      </c>
      <c r="B3" s="208">
        <v>276.27999999999997</v>
      </c>
      <c r="C3" s="189" t="s">
        <v>86</v>
      </c>
      <c r="D3" s="209">
        <v>3871.48</v>
      </c>
      <c r="E3" s="58" t="s">
        <v>236</v>
      </c>
      <c r="F3" s="213" cm="1">
        <f t="array" aca="1" ref="F3" ca="1">F4-NxtSheet(F4)</f>
        <v>88.580000000000041</v>
      </c>
      <c r="G3" s="434"/>
      <c r="H3" s="436"/>
      <c r="I3" s="438"/>
    </row>
    <row r="4" spans="1:11" ht="14.85" customHeight="1" x14ac:dyDescent="0.2">
      <c r="A4" s="191" t="s">
        <v>225</v>
      </c>
      <c r="B4" s="87">
        <f>F5/(30-H5)*30</f>
        <v>1528.35</v>
      </c>
      <c r="C4" s="44" t="s">
        <v>197</v>
      </c>
      <c r="D4" s="192">
        <v>0</v>
      </c>
      <c r="E4" s="43" t="s">
        <v>189</v>
      </c>
      <c r="F4" s="95">
        <v>473.1</v>
      </c>
      <c r="H4" s="95"/>
      <c r="I4" s="104" t="str">
        <f>IF(D2-B3-D3-D4-D5-B5-F5&lt;0.5,"",D2-B3-D3-D4-D5-B5-F5)</f>
        <v/>
      </c>
    </row>
    <row r="5" spans="1:11" ht="14.85" customHeight="1" thickBot="1" x14ac:dyDescent="0.25">
      <c r="A5" s="193" t="s">
        <v>131</v>
      </c>
      <c r="B5" s="212">
        <v>296.99</v>
      </c>
      <c r="C5" s="195" t="s">
        <v>196</v>
      </c>
      <c r="D5" s="211">
        <f>1195.81+1188.2</f>
        <v>2384.0100000000002</v>
      </c>
      <c r="E5" s="191" t="s">
        <v>138</v>
      </c>
      <c r="F5" s="210">
        <f>487.5+21.95</f>
        <v>509.45</v>
      </c>
      <c r="G5" s="43" t="s">
        <v>226</v>
      </c>
      <c r="H5" s="1">
        <f>31-1-4-2-4</f>
        <v>20</v>
      </c>
      <c r="I5" s="7" t="s">
        <v>251</v>
      </c>
    </row>
  </sheetData>
  <mergeCells count="4">
    <mergeCell ref="G2:G3"/>
    <mergeCell ref="H2:H3"/>
    <mergeCell ref="I2:I3"/>
    <mergeCell ref="A1:I1"/>
  </mergeCells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0194-7798-41A1-B670-D4E25D6DC1DF}">
  <sheetPr codeName="Sheet6"/>
  <dimension ref="A1:K5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6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x14ac:dyDescent="0.2">
      <c r="A1" s="439" t="s">
        <v>224</v>
      </c>
      <c r="B1" s="439"/>
      <c r="C1" s="439"/>
      <c r="D1" s="439"/>
      <c r="E1" s="439"/>
      <c r="F1" s="439"/>
      <c r="G1" s="439"/>
      <c r="H1" s="204" t="s">
        <v>233</v>
      </c>
      <c r="I1" s="205"/>
    </row>
    <row r="2" spans="1:11" ht="14.85" customHeight="1" thickBot="1" x14ac:dyDescent="0.25">
      <c r="A2" s="171" t="s">
        <v>5</v>
      </c>
      <c r="B2" s="172">
        <v>8312.84</v>
      </c>
      <c r="C2" s="169" t="s">
        <v>29</v>
      </c>
      <c r="D2" s="173">
        <v>4204.72</v>
      </c>
      <c r="E2" s="44" t="s">
        <v>61</v>
      </c>
      <c r="F2" s="103">
        <v>15216.76</v>
      </c>
      <c r="G2" s="433" t="s">
        <v>139</v>
      </c>
      <c r="H2" s="435">
        <f>F3/F2/30*365*100</f>
        <v>10.768433402818122</v>
      </c>
      <c r="I2" s="437" t="s">
        <v>62</v>
      </c>
      <c r="K2" s="95"/>
    </row>
    <row r="3" spans="1:11" ht="14.85" customHeight="1" x14ac:dyDescent="0.2">
      <c r="A3" s="187" t="s">
        <v>198</v>
      </c>
      <c r="B3" s="188">
        <v>853.14</v>
      </c>
      <c r="C3" s="189" t="s">
        <v>86</v>
      </c>
      <c r="D3" s="190">
        <v>1475.53</v>
      </c>
      <c r="E3" s="58" t="s">
        <v>56</v>
      </c>
      <c r="F3" s="66">
        <v>134.68</v>
      </c>
      <c r="G3" s="434"/>
      <c r="H3" s="436"/>
      <c r="I3" s="438"/>
    </row>
    <row r="4" spans="1:11" ht="14.85" customHeight="1" x14ac:dyDescent="0.2">
      <c r="A4" s="191" t="s">
        <v>225</v>
      </c>
      <c r="B4" s="87">
        <f>F5/(30-H5)*30</f>
        <v>1602.76875</v>
      </c>
      <c r="C4" s="44" t="s">
        <v>197</v>
      </c>
      <c r="D4" s="192">
        <v>318</v>
      </c>
      <c r="E4" s="43" t="s">
        <v>189</v>
      </c>
      <c r="F4" s="95">
        <v>384.52</v>
      </c>
      <c r="G4" s="43" t="s">
        <v>188</v>
      </c>
      <c r="H4" s="95">
        <f>'25.5'!F4</f>
        <v>240.26</v>
      </c>
      <c r="I4" s="104" t="str">
        <f>IF(D2-B3-D3-D4-D5-B5-F5&lt;0.5,"",D2-B3-D3-D4-D5-B5-F5)</f>
        <v/>
      </c>
    </row>
    <row r="5" spans="1:11" ht="14.85" customHeight="1" thickBot="1" x14ac:dyDescent="0.25">
      <c r="A5" s="193" t="s">
        <v>131</v>
      </c>
      <c r="B5" s="194">
        <v>445.25</v>
      </c>
      <c r="C5" s="195" t="s">
        <v>196</v>
      </c>
      <c r="D5" s="196">
        <v>257.99</v>
      </c>
      <c r="E5" s="191" t="s">
        <v>138</v>
      </c>
      <c r="F5" s="87">
        <f>93.03+761.78</f>
        <v>854.81</v>
      </c>
      <c r="G5" s="43" t="s">
        <v>226</v>
      </c>
      <c r="H5" s="1">
        <v>14</v>
      </c>
      <c r="I5" s="7" t="s">
        <v>251</v>
      </c>
    </row>
  </sheetData>
  <mergeCells count="4">
    <mergeCell ref="G2:G3"/>
    <mergeCell ref="H2:H3"/>
    <mergeCell ref="I2:I3"/>
    <mergeCell ref="A1:G1"/>
  </mergeCells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14DD-56D2-4669-8392-891149082A4E}">
  <sheetPr codeName="Sheet7"/>
  <dimension ref="A1:K76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7.25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3.125" style="43" customWidth="1"/>
    <col min="8" max="8" width="11.125" style="43" customWidth="1"/>
    <col min="9" max="9" width="10.75" style="43" customWidth="1"/>
    <col min="10" max="10" width="13.375" style="43" customWidth="1"/>
    <col min="11" max="11" width="11.375" style="43" customWidth="1"/>
    <col min="12" max="12" width="8" style="43" customWidth="1"/>
    <col min="13" max="16384" width="8.75" style="43"/>
  </cols>
  <sheetData>
    <row r="1" spans="1:11" ht="23.85" customHeight="1" x14ac:dyDescent="0.2">
      <c r="A1" s="439" t="s">
        <v>209</v>
      </c>
      <c r="B1" s="439"/>
      <c r="C1" s="439"/>
      <c r="D1" s="439"/>
      <c r="E1" s="439"/>
      <c r="F1" s="439"/>
      <c r="G1" s="407"/>
      <c r="H1" s="407"/>
      <c r="I1" s="407"/>
    </row>
    <row r="2" spans="1:11" ht="14.85" customHeight="1" thickBot="1" x14ac:dyDescent="0.25">
      <c r="A2" s="171" t="s">
        <v>5</v>
      </c>
      <c r="B2" s="172">
        <v>5804.51</v>
      </c>
      <c r="C2" s="169" t="s">
        <v>29</v>
      </c>
      <c r="D2" s="173">
        <v>9617.1600000000017</v>
      </c>
      <c r="E2" s="44" t="s">
        <v>61</v>
      </c>
      <c r="F2" s="103">
        <v>19183.599999999999</v>
      </c>
      <c r="G2" s="433" t="s">
        <v>139</v>
      </c>
      <c r="H2" s="435">
        <f>F3/F2/30*365*100</f>
        <v>8.5417057625610777</v>
      </c>
      <c r="I2" s="437" t="s">
        <v>62</v>
      </c>
      <c r="K2" s="95"/>
    </row>
    <row r="3" spans="1:11" ht="14.85" customHeight="1" x14ac:dyDescent="0.2">
      <c r="A3" s="187" t="s">
        <v>198</v>
      </c>
      <c r="B3" s="188">
        <v>295.39</v>
      </c>
      <c r="C3" s="189" t="s">
        <v>86</v>
      </c>
      <c r="D3" s="190">
        <v>1149.3899999999999</v>
      </c>
      <c r="E3" s="58" t="s">
        <v>56</v>
      </c>
      <c r="F3" s="66">
        <v>134.68</v>
      </c>
      <c r="G3" s="434"/>
      <c r="H3" s="436"/>
      <c r="I3" s="438"/>
    </row>
    <row r="4" spans="1:11" ht="14.85" customHeight="1" x14ac:dyDescent="0.2">
      <c r="A4" s="191" t="s">
        <v>225</v>
      </c>
      <c r="B4" s="87">
        <f>F5/(30-H5)*30</f>
        <v>2359.6333333333332</v>
      </c>
      <c r="C4" s="44" t="s">
        <v>197</v>
      </c>
      <c r="D4" s="192">
        <v>83</v>
      </c>
      <c r="E4" s="43" t="s">
        <v>189</v>
      </c>
      <c r="F4" s="95">
        <v>240.26</v>
      </c>
      <c r="G4" s="43" t="s">
        <v>188</v>
      </c>
      <c r="H4" s="95">
        <f>'25.4'!F4</f>
        <v>105.58</v>
      </c>
      <c r="I4"/>
    </row>
    <row r="5" spans="1:11" ht="14.85" customHeight="1" thickBot="1" x14ac:dyDescent="0.25">
      <c r="A5" s="193" t="s">
        <v>131</v>
      </c>
      <c r="B5" s="194">
        <v>1572.09</v>
      </c>
      <c r="C5" s="195" t="s">
        <v>196</v>
      </c>
      <c r="D5" s="196">
        <v>5101.51</v>
      </c>
      <c r="E5" s="191" t="s">
        <v>138</v>
      </c>
      <c r="F5" s="87">
        <v>1415.78</v>
      </c>
      <c r="G5" s="43" t="s">
        <v>226</v>
      </c>
      <c r="H5" s="1">
        <v>12</v>
      </c>
      <c r="I5" s="7" t="s">
        <v>251</v>
      </c>
    </row>
    <row r="6" spans="1:11" ht="14.85" customHeight="1" x14ac:dyDescent="0.2">
      <c r="A6" s="1"/>
      <c r="B6" s="64"/>
      <c r="C6" s="1"/>
      <c r="D6" s="88"/>
      <c r="H6" s="7"/>
      <c r="I6" s="7"/>
    </row>
    <row r="7" spans="1:11" ht="14.85" customHeight="1" x14ac:dyDescent="0.2">
      <c r="A7" s="440" t="s">
        <v>14</v>
      </c>
      <c r="B7" s="441" t="s">
        <v>123</v>
      </c>
      <c r="C7" s="441" t="s">
        <v>15</v>
      </c>
      <c r="D7" s="441"/>
      <c r="E7" s="95">
        <v>1403.1</v>
      </c>
    </row>
    <row r="8" spans="1:11" ht="14.85" customHeight="1" x14ac:dyDescent="0.2">
      <c r="A8" s="440"/>
      <c r="B8" s="441"/>
      <c r="C8" s="442" t="s">
        <v>63</v>
      </c>
      <c r="D8" s="442"/>
      <c r="E8" s="95">
        <v>208.1</v>
      </c>
    </row>
    <row r="9" spans="1:11" ht="14.85" customHeight="1" x14ac:dyDescent="0.2">
      <c r="A9" s="440"/>
      <c r="B9" s="441"/>
      <c r="C9" s="443" t="s">
        <v>9</v>
      </c>
      <c r="D9" s="443"/>
      <c r="E9" s="166">
        <v>1195</v>
      </c>
    </row>
    <row r="10" spans="1:11" ht="14.85" customHeight="1" x14ac:dyDescent="0.2">
      <c r="A10" s="440"/>
      <c r="B10" s="444" t="s">
        <v>16</v>
      </c>
      <c r="C10" s="447" t="s">
        <v>15</v>
      </c>
      <c r="D10" s="448"/>
      <c r="E10" s="167">
        <v>1866.94</v>
      </c>
    </row>
    <row r="11" spans="1:11" ht="14.85" customHeight="1" x14ac:dyDescent="0.2">
      <c r="A11" s="440"/>
      <c r="B11" s="445"/>
      <c r="C11" s="447" t="s">
        <v>53</v>
      </c>
      <c r="D11" s="448"/>
      <c r="E11" s="166">
        <v>26.58</v>
      </c>
      <c r="F11" s="95">
        <v>6</v>
      </c>
      <c r="G11" s="43" t="s">
        <v>84</v>
      </c>
    </row>
    <row r="12" spans="1:11" ht="14.85" customHeight="1" x14ac:dyDescent="0.2">
      <c r="A12" s="440"/>
      <c r="B12" s="445"/>
      <c r="C12" s="447" t="s">
        <v>51</v>
      </c>
      <c r="D12" s="448"/>
      <c r="E12" s="166">
        <v>6</v>
      </c>
    </row>
    <row r="13" spans="1:11" ht="14.85" customHeight="1" x14ac:dyDescent="0.2">
      <c r="A13" s="440"/>
      <c r="B13" s="446"/>
      <c r="C13" s="447" t="s">
        <v>52</v>
      </c>
      <c r="D13" s="448"/>
      <c r="E13" s="166">
        <v>47.17</v>
      </c>
      <c r="F13" s="95">
        <v>7.2600000000000007</v>
      </c>
      <c r="G13" s="43" t="s">
        <v>83</v>
      </c>
    </row>
    <row r="14" spans="1:11" ht="14.85" customHeight="1" x14ac:dyDescent="0.2">
      <c r="A14" s="440"/>
      <c r="B14" s="441" t="s">
        <v>10</v>
      </c>
      <c r="C14" s="441" t="s">
        <v>15</v>
      </c>
      <c r="D14" s="441"/>
      <c r="E14" s="95">
        <v>1352.09</v>
      </c>
    </row>
    <row r="15" spans="1:11" ht="14.85" customHeight="1" x14ac:dyDescent="0.2">
      <c r="A15" s="440"/>
      <c r="B15" s="441"/>
      <c r="C15" s="449" t="s">
        <v>186</v>
      </c>
      <c r="D15" s="449"/>
      <c r="E15" s="95">
        <v>0</v>
      </c>
    </row>
    <row r="16" spans="1:11" ht="14.85" customHeight="1" x14ac:dyDescent="0.2">
      <c r="A16" s="440"/>
      <c r="B16" s="441"/>
      <c r="C16" s="449" t="s">
        <v>4</v>
      </c>
      <c r="D16" s="449"/>
      <c r="E16" s="95">
        <v>125.19000000000001</v>
      </c>
    </row>
    <row r="17" spans="1:5" ht="14.85" customHeight="1" x14ac:dyDescent="0.2">
      <c r="A17" s="440"/>
      <c r="B17" s="441"/>
      <c r="C17" s="441" t="s">
        <v>11</v>
      </c>
      <c r="D17" s="44" t="s">
        <v>15</v>
      </c>
      <c r="E17" s="95">
        <v>362.42</v>
      </c>
    </row>
    <row r="18" spans="1:5" ht="14.85" customHeight="1" x14ac:dyDescent="0.2">
      <c r="A18" s="440"/>
      <c r="B18" s="441"/>
      <c r="C18" s="441"/>
      <c r="D18" s="49" t="s">
        <v>18</v>
      </c>
      <c r="E18" s="167">
        <v>312.82000000000005</v>
      </c>
    </row>
    <row r="19" spans="1:5" ht="14.85" customHeight="1" x14ac:dyDescent="0.2">
      <c r="A19" s="440"/>
      <c r="B19" s="441"/>
      <c r="C19" s="441"/>
      <c r="D19" s="52" t="s">
        <v>130</v>
      </c>
      <c r="E19" s="95">
        <v>0</v>
      </c>
    </row>
    <row r="20" spans="1:5" ht="14.85" customHeight="1" x14ac:dyDescent="0.2">
      <c r="A20" s="440"/>
      <c r="B20" s="441"/>
      <c r="C20" s="441"/>
      <c r="D20" s="48" t="s">
        <v>12</v>
      </c>
      <c r="E20" s="95">
        <v>49.599999999999994</v>
      </c>
    </row>
    <row r="21" spans="1:5" ht="14.85" customHeight="1" x14ac:dyDescent="0.2">
      <c r="A21" s="440"/>
      <c r="B21" s="441"/>
      <c r="C21" s="442" t="s">
        <v>9</v>
      </c>
      <c r="D21" s="442"/>
      <c r="E21" s="95">
        <v>864.47999999999979</v>
      </c>
    </row>
    <row r="22" spans="1:5" ht="14.85" customHeight="1" x14ac:dyDescent="0.2">
      <c r="A22" s="440"/>
      <c r="B22" s="441" t="s">
        <v>19</v>
      </c>
      <c r="C22" s="441" t="s">
        <v>15</v>
      </c>
      <c r="D22" s="441"/>
      <c r="E22" s="95">
        <v>7997.59</v>
      </c>
    </row>
    <row r="23" spans="1:5" ht="14.85" customHeight="1" x14ac:dyDescent="0.2">
      <c r="A23" s="440"/>
      <c r="B23" s="441"/>
      <c r="C23" s="449" t="s">
        <v>130</v>
      </c>
      <c r="D23" s="52" t="s">
        <v>117</v>
      </c>
      <c r="E23" s="95">
        <v>30</v>
      </c>
    </row>
    <row r="24" spans="1:5" ht="14.85" customHeight="1" x14ac:dyDescent="0.2">
      <c r="A24" s="440"/>
      <c r="B24" s="441"/>
      <c r="C24" s="449"/>
      <c r="D24" s="52" t="s">
        <v>21</v>
      </c>
      <c r="E24" s="95">
        <v>0</v>
      </c>
    </row>
    <row r="25" spans="1:5" ht="14.85" customHeight="1" x14ac:dyDescent="0.2">
      <c r="A25" s="440"/>
      <c r="B25" s="441"/>
      <c r="C25" s="442" t="s">
        <v>9</v>
      </c>
      <c r="D25" s="442"/>
      <c r="E25" s="95">
        <v>7967.59</v>
      </c>
    </row>
    <row r="26" spans="1:5" ht="14.85" customHeight="1" x14ac:dyDescent="0.2">
      <c r="A26" s="440"/>
      <c r="B26" s="443" t="s">
        <v>22</v>
      </c>
      <c r="C26" s="443"/>
      <c r="D26" s="443"/>
      <c r="E26" s="166">
        <v>2507.3900000000003</v>
      </c>
    </row>
    <row r="27" spans="1:5" ht="14.85" customHeight="1" x14ac:dyDescent="0.2">
      <c r="A27" s="440"/>
      <c r="B27" s="441" t="s">
        <v>124</v>
      </c>
      <c r="C27" s="441" t="s">
        <v>15</v>
      </c>
      <c r="D27" s="441"/>
      <c r="E27" s="95">
        <v>201.2</v>
      </c>
    </row>
    <row r="28" spans="1:5" ht="14.85" customHeight="1" x14ac:dyDescent="0.2">
      <c r="A28" s="440"/>
      <c r="B28" s="441"/>
      <c r="C28" s="449" t="s">
        <v>187</v>
      </c>
      <c r="D28" s="449"/>
      <c r="E28" s="95">
        <v>0</v>
      </c>
    </row>
    <row r="29" spans="1:5" ht="14.85" customHeight="1" x14ac:dyDescent="0.2">
      <c r="A29" s="440"/>
      <c r="B29" s="441"/>
      <c r="C29" s="443" t="s">
        <v>9</v>
      </c>
      <c r="D29" s="443"/>
      <c r="E29" s="167">
        <v>201.2</v>
      </c>
    </row>
    <row r="30" spans="1:5" ht="14.85" customHeight="1" x14ac:dyDescent="0.2">
      <c r="A30" s="440"/>
      <c r="B30" s="443" t="s">
        <v>125</v>
      </c>
      <c r="C30" s="443"/>
      <c r="D30" s="443"/>
      <c r="E30" s="167">
        <v>1314.83</v>
      </c>
    </row>
    <row r="31" spans="1:5" ht="14.85" customHeight="1" x14ac:dyDescent="0.2">
      <c r="A31" s="440"/>
      <c r="B31" s="443" t="s">
        <v>25</v>
      </c>
      <c r="C31" s="443"/>
      <c r="D31" s="443"/>
      <c r="E31" s="167">
        <v>63.56</v>
      </c>
    </row>
    <row r="32" spans="1:5" ht="14.85" customHeight="1" x14ac:dyDescent="0.2">
      <c r="A32" s="440"/>
      <c r="B32" s="441" t="s">
        <v>11</v>
      </c>
      <c r="C32" s="441" t="s">
        <v>15</v>
      </c>
      <c r="D32" s="441"/>
      <c r="E32" s="95">
        <v>445.1</v>
      </c>
    </row>
    <row r="33" spans="1:9" ht="14.85" hidden="1" customHeight="1" x14ac:dyDescent="0.2">
      <c r="A33" s="440"/>
      <c r="B33" s="441"/>
      <c r="C33" s="447" t="s">
        <v>58</v>
      </c>
      <c r="D33" s="448"/>
      <c r="E33" s="154">
        <v>0</v>
      </c>
    </row>
    <row r="34" spans="1:9" ht="14.85" customHeight="1" x14ac:dyDescent="0.2">
      <c r="A34" s="440"/>
      <c r="B34" s="441"/>
      <c r="C34" s="441" t="s">
        <v>11</v>
      </c>
      <c r="D34" s="44" t="s">
        <v>15</v>
      </c>
      <c r="E34" s="95">
        <v>0</v>
      </c>
    </row>
    <row r="35" spans="1:9" ht="14.85" customHeight="1" x14ac:dyDescent="0.2">
      <c r="A35" s="440"/>
      <c r="B35" s="441"/>
      <c r="C35" s="441"/>
      <c r="D35" s="48" t="s">
        <v>12</v>
      </c>
      <c r="E35" s="95">
        <v>0</v>
      </c>
    </row>
    <row r="36" spans="1:9" ht="14.85" customHeight="1" x14ac:dyDescent="0.2">
      <c r="A36" s="440"/>
      <c r="B36" s="441"/>
      <c r="C36" s="441"/>
      <c r="D36" s="52" t="s">
        <v>130</v>
      </c>
      <c r="E36" s="95">
        <v>0</v>
      </c>
    </row>
    <row r="37" spans="1:9" ht="14.85" customHeight="1" x14ac:dyDescent="0.2">
      <c r="A37" s="440"/>
      <c r="B37" s="441"/>
      <c r="C37" s="441"/>
      <c r="D37" s="49" t="s">
        <v>18</v>
      </c>
      <c r="E37" s="167">
        <v>-1.5923992384841452E-2</v>
      </c>
      <c r="I37" s="113"/>
    </row>
    <row r="38" spans="1:9" ht="14.85" customHeight="1" x14ac:dyDescent="0.2">
      <c r="A38" s="440"/>
      <c r="B38" s="441"/>
      <c r="C38" s="443" t="s">
        <v>9</v>
      </c>
      <c r="D38" s="443"/>
      <c r="E38" s="167">
        <v>445.1</v>
      </c>
      <c r="I38" s="113"/>
    </row>
    <row r="39" spans="1:9" ht="14.85" customHeight="1" x14ac:dyDescent="0.2">
      <c r="A39" s="54"/>
    </row>
    <row r="40" spans="1:9" ht="14.85" customHeight="1" x14ac:dyDescent="0.2">
      <c r="A40" s="59" t="s">
        <v>71</v>
      </c>
      <c r="B40" s="93"/>
      <c r="C40" s="59" t="s">
        <v>68</v>
      </c>
      <c r="D40" s="59"/>
      <c r="E40" s="55">
        <f>SUM(E41:E75)</f>
        <v>0</v>
      </c>
      <c r="F40" s="59" t="s">
        <v>107</v>
      </c>
      <c r="G40" s="43" t="s">
        <v>73</v>
      </c>
      <c r="H40" s="43" t="s">
        <v>108</v>
      </c>
    </row>
    <row r="41" spans="1:9" ht="14.85" customHeight="1" x14ac:dyDescent="0.2">
      <c r="A41" s="450" t="s">
        <v>70</v>
      </c>
      <c r="B41" s="451" t="s">
        <v>13</v>
      </c>
      <c r="C41" s="451" t="s">
        <v>15</v>
      </c>
      <c r="D41" s="451"/>
      <c r="E41" s="94">
        <f t="shared" ref="E41:E76" si="0">F41+G41/2</f>
        <v>0</v>
      </c>
      <c r="F41" s="94"/>
      <c r="G41" s="95"/>
      <c r="H41" s="95" t="e">
        <f t="shared" ref="H41:H76" si="1">E41/$B$40</f>
        <v>#DIV/0!</v>
      </c>
    </row>
    <row r="42" spans="1:9" ht="14.85" customHeight="1" x14ac:dyDescent="0.2">
      <c r="A42" s="450"/>
      <c r="B42" s="451"/>
      <c r="C42" s="452" t="s">
        <v>63</v>
      </c>
      <c r="D42" s="452"/>
      <c r="E42" s="94">
        <f t="shared" si="0"/>
        <v>0</v>
      </c>
      <c r="F42" s="94"/>
      <c r="G42" s="95"/>
      <c r="H42" s="95" t="e">
        <f t="shared" si="1"/>
        <v>#DIV/0!</v>
      </c>
    </row>
    <row r="43" spans="1:9" ht="14.85" customHeight="1" x14ac:dyDescent="0.2">
      <c r="A43" s="450"/>
      <c r="B43" s="451"/>
      <c r="C43" s="453" t="s">
        <v>9</v>
      </c>
      <c r="D43" s="453"/>
      <c r="E43" s="94">
        <f t="shared" si="0"/>
        <v>0</v>
      </c>
      <c r="F43" s="94"/>
      <c r="G43" s="95"/>
      <c r="H43" s="95" t="e">
        <f t="shared" si="1"/>
        <v>#DIV/0!</v>
      </c>
    </row>
    <row r="44" spans="1:9" ht="14.85" customHeight="1" x14ac:dyDescent="0.2">
      <c r="A44" s="450"/>
      <c r="B44" s="454" t="s">
        <v>16</v>
      </c>
      <c r="C44" s="457" t="s">
        <v>78</v>
      </c>
      <c r="D44" s="458"/>
      <c r="E44" s="94">
        <f t="shared" si="0"/>
        <v>0</v>
      </c>
      <c r="F44" s="94"/>
      <c r="G44" s="95"/>
      <c r="H44" s="95" t="e">
        <f t="shared" si="1"/>
        <v>#DIV/0!</v>
      </c>
    </row>
    <row r="45" spans="1:9" ht="14.85" hidden="1" customHeight="1" x14ac:dyDescent="0.2">
      <c r="A45" s="450"/>
      <c r="B45" s="455"/>
      <c r="C45" s="457" t="s">
        <v>53</v>
      </c>
      <c r="D45" s="458"/>
      <c r="E45" s="94">
        <f t="shared" si="0"/>
        <v>0</v>
      </c>
      <c r="F45" s="94"/>
      <c r="G45" s="95"/>
      <c r="H45" s="95" t="e">
        <f t="shared" si="1"/>
        <v>#DIV/0!</v>
      </c>
    </row>
    <row r="46" spans="1:9" ht="14.85" hidden="1" customHeight="1" x14ac:dyDescent="0.2">
      <c r="A46" s="450"/>
      <c r="B46" s="455"/>
      <c r="C46" s="457" t="s">
        <v>51</v>
      </c>
      <c r="D46" s="458"/>
      <c r="E46" s="94">
        <f t="shared" si="0"/>
        <v>0</v>
      </c>
      <c r="F46" s="94"/>
      <c r="G46" s="95"/>
      <c r="H46" s="95" t="e">
        <f t="shared" si="1"/>
        <v>#DIV/0!</v>
      </c>
    </row>
    <row r="47" spans="1:9" ht="14.85" customHeight="1" x14ac:dyDescent="0.2">
      <c r="A47" s="450"/>
      <c r="B47" s="456"/>
      <c r="C47" s="457" t="s">
        <v>52</v>
      </c>
      <c r="D47" s="458"/>
      <c r="E47" s="94">
        <f t="shared" si="0"/>
        <v>0</v>
      </c>
      <c r="F47" s="94"/>
      <c r="G47" s="95"/>
      <c r="H47" s="95" t="e">
        <f t="shared" si="1"/>
        <v>#DIV/0!</v>
      </c>
    </row>
    <row r="48" spans="1:9" ht="14.85" customHeight="1" x14ac:dyDescent="0.2">
      <c r="A48" s="450"/>
      <c r="B48" s="451" t="s">
        <v>10</v>
      </c>
      <c r="C48" s="451" t="s">
        <v>15</v>
      </c>
      <c r="D48" s="451"/>
      <c r="E48" s="94">
        <f t="shared" si="0"/>
        <v>0</v>
      </c>
      <c r="F48" s="94"/>
      <c r="G48" s="95"/>
      <c r="H48" s="95" t="e">
        <f t="shared" si="1"/>
        <v>#DIV/0!</v>
      </c>
    </row>
    <row r="49" spans="1:8" ht="14.85" customHeight="1" x14ac:dyDescent="0.2">
      <c r="A49" s="450"/>
      <c r="B49" s="451"/>
      <c r="C49" s="459" t="s">
        <v>17</v>
      </c>
      <c r="D49" s="459"/>
      <c r="E49" s="94">
        <f t="shared" si="0"/>
        <v>0</v>
      </c>
      <c r="F49" s="94"/>
      <c r="G49" s="95"/>
      <c r="H49" s="95" t="e">
        <f t="shared" si="1"/>
        <v>#DIV/0!</v>
      </c>
    </row>
    <row r="50" spans="1:8" ht="14.85" customHeight="1" x14ac:dyDescent="0.2">
      <c r="A50" s="450"/>
      <c r="B50" s="451"/>
      <c r="C50" s="459" t="s">
        <v>4</v>
      </c>
      <c r="D50" s="459"/>
      <c r="E50" s="94">
        <f t="shared" si="0"/>
        <v>0</v>
      </c>
      <c r="F50" s="94"/>
      <c r="G50" s="95"/>
      <c r="H50" s="95" t="e">
        <f t="shared" si="1"/>
        <v>#DIV/0!</v>
      </c>
    </row>
    <row r="51" spans="1:8" ht="14.85" customHeight="1" x14ac:dyDescent="0.2">
      <c r="A51" s="450"/>
      <c r="B51" s="451"/>
      <c r="C51" s="451" t="s">
        <v>11</v>
      </c>
      <c r="D51" s="53" t="s">
        <v>15</v>
      </c>
      <c r="E51" s="94">
        <f t="shared" si="0"/>
        <v>0</v>
      </c>
      <c r="F51" s="94"/>
      <c r="G51" s="95"/>
      <c r="H51" s="95" t="e">
        <f t="shared" si="1"/>
        <v>#DIV/0!</v>
      </c>
    </row>
    <row r="52" spans="1:8" ht="14.85" customHeight="1" x14ac:dyDescent="0.2">
      <c r="A52" s="450"/>
      <c r="B52" s="451"/>
      <c r="C52" s="451"/>
      <c r="D52" s="62" t="s">
        <v>18</v>
      </c>
      <c r="E52" s="94">
        <f t="shared" si="0"/>
        <v>0</v>
      </c>
      <c r="F52" s="94"/>
      <c r="G52" s="95"/>
      <c r="H52" s="95" t="e">
        <f t="shared" si="1"/>
        <v>#DIV/0!</v>
      </c>
    </row>
    <row r="53" spans="1:8" ht="14.85" customHeight="1" x14ac:dyDescent="0.2">
      <c r="A53" s="450"/>
      <c r="B53" s="451"/>
      <c r="C53" s="451"/>
      <c r="D53" s="63" t="s">
        <v>3</v>
      </c>
      <c r="E53" s="94">
        <f t="shared" si="0"/>
        <v>0</v>
      </c>
      <c r="F53" s="94"/>
      <c r="G53" s="95"/>
      <c r="H53" s="95" t="e">
        <f t="shared" si="1"/>
        <v>#DIV/0!</v>
      </c>
    </row>
    <row r="54" spans="1:8" ht="14.85" customHeight="1" x14ac:dyDescent="0.2">
      <c r="A54" s="450"/>
      <c r="B54" s="451"/>
      <c r="C54" s="451"/>
      <c r="D54" s="61" t="s">
        <v>12</v>
      </c>
      <c r="E54" s="94">
        <f t="shared" si="0"/>
        <v>0</v>
      </c>
      <c r="F54" s="94"/>
      <c r="G54" s="95"/>
      <c r="H54" s="95" t="e">
        <f t="shared" si="1"/>
        <v>#DIV/0!</v>
      </c>
    </row>
    <row r="55" spans="1:8" ht="14.85" customHeight="1" x14ac:dyDescent="0.2">
      <c r="A55" s="450"/>
      <c r="B55" s="451"/>
      <c r="C55" s="452" t="s">
        <v>9</v>
      </c>
      <c r="D55" s="452"/>
      <c r="E55" s="94">
        <f t="shared" si="0"/>
        <v>0</v>
      </c>
      <c r="F55" s="94"/>
      <c r="G55" s="95"/>
      <c r="H55" s="95" t="e">
        <f t="shared" si="1"/>
        <v>#DIV/0!</v>
      </c>
    </row>
    <row r="56" spans="1:8" ht="14.85" customHeight="1" x14ac:dyDescent="0.2">
      <c r="A56" s="450"/>
      <c r="B56" s="451" t="s">
        <v>19</v>
      </c>
      <c r="C56" s="451" t="s">
        <v>80</v>
      </c>
      <c r="D56" s="451"/>
      <c r="E56" s="94">
        <f t="shared" si="0"/>
        <v>0</v>
      </c>
      <c r="F56" s="94"/>
      <c r="G56" s="95"/>
      <c r="H56" s="95" t="e">
        <f t="shared" si="1"/>
        <v>#DIV/0!</v>
      </c>
    </row>
    <row r="57" spans="1:8" ht="14.85" customHeight="1" x14ac:dyDescent="0.2">
      <c r="A57" s="450"/>
      <c r="B57" s="451"/>
      <c r="C57" s="459" t="s">
        <v>3</v>
      </c>
      <c r="D57" s="63" t="s">
        <v>20</v>
      </c>
      <c r="E57" s="94">
        <f t="shared" si="0"/>
        <v>0</v>
      </c>
      <c r="F57" s="94"/>
      <c r="G57" s="95"/>
      <c r="H57" s="95" t="e">
        <f t="shared" si="1"/>
        <v>#DIV/0!</v>
      </c>
    </row>
    <row r="58" spans="1:8" ht="14.85" hidden="1" customHeight="1" x14ac:dyDescent="0.2">
      <c r="A58" s="450"/>
      <c r="B58" s="451"/>
      <c r="C58" s="459"/>
      <c r="D58" s="63" t="s">
        <v>21</v>
      </c>
      <c r="E58" s="94">
        <f t="shared" si="0"/>
        <v>0</v>
      </c>
      <c r="F58" s="94"/>
      <c r="G58" s="95"/>
      <c r="H58" s="95" t="e">
        <f t="shared" si="1"/>
        <v>#DIV/0!</v>
      </c>
    </row>
    <row r="59" spans="1:8" ht="14.85" customHeight="1" x14ac:dyDescent="0.2">
      <c r="A59" s="450"/>
      <c r="B59" s="451"/>
      <c r="C59" s="452" t="s">
        <v>9</v>
      </c>
      <c r="D59" s="452"/>
      <c r="E59" s="94">
        <f t="shared" si="0"/>
        <v>0</v>
      </c>
      <c r="F59" s="94"/>
      <c r="G59" s="95"/>
      <c r="H59" s="95" t="e">
        <f t="shared" si="1"/>
        <v>#DIV/0!</v>
      </c>
    </row>
    <row r="60" spans="1:8" ht="14.85" customHeight="1" x14ac:dyDescent="0.2">
      <c r="A60" s="450"/>
      <c r="B60" s="454" t="s">
        <v>22</v>
      </c>
      <c r="C60" s="454" t="s">
        <v>76</v>
      </c>
      <c r="D60" s="62" t="s">
        <v>74</v>
      </c>
      <c r="E60" s="94">
        <f t="shared" si="0"/>
        <v>0</v>
      </c>
      <c r="F60" s="94"/>
      <c r="G60" s="95"/>
      <c r="H60" s="95" t="e">
        <f t="shared" si="1"/>
        <v>#DIV/0!</v>
      </c>
    </row>
    <row r="61" spans="1:8" ht="14.85" customHeight="1" x14ac:dyDescent="0.2">
      <c r="A61" s="450"/>
      <c r="B61" s="455"/>
      <c r="C61" s="456"/>
      <c r="D61" s="62" t="s">
        <v>75</v>
      </c>
      <c r="E61" s="94">
        <f t="shared" si="0"/>
        <v>0</v>
      </c>
      <c r="F61" s="94"/>
      <c r="G61" s="95"/>
      <c r="H61" s="95" t="e">
        <f t="shared" si="1"/>
        <v>#DIV/0!</v>
      </c>
    </row>
    <row r="62" spans="1:8" ht="14.85" customHeight="1" x14ac:dyDescent="0.2">
      <c r="A62" s="450"/>
      <c r="B62" s="456"/>
      <c r="C62" s="460" t="s">
        <v>77</v>
      </c>
      <c r="D62" s="461"/>
      <c r="E62" s="94">
        <f t="shared" si="0"/>
        <v>0</v>
      </c>
      <c r="F62" s="94"/>
      <c r="G62" s="95"/>
      <c r="H62" s="95" t="e">
        <f t="shared" si="1"/>
        <v>#DIV/0!</v>
      </c>
    </row>
    <row r="63" spans="1:8" ht="14.85" hidden="1" customHeight="1" x14ac:dyDescent="0.2">
      <c r="A63" s="450"/>
      <c r="B63" s="62"/>
      <c r="C63" s="462"/>
      <c r="D63" s="463"/>
      <c r="E63" s="94">
        <f t="shared" si="0"/>
        <v>0</v>
      </c>
      <c r="F63" s="94"/>
      <c r="G63" s="95"/>
      <c r="H63" s="95" t="e">
        <f t="shared" si="1"/>
        <v>#DIV/0!</v>
      </c>
    </row>
    <row r="64" spans="1:8" ht="14.85" hidden="1" customHeight="1" x14ac:dyDescent="0.2">
      <c r="A64" s="450"/>
      <c r="B64" s="451" t="s">
        <v>23</v>
      </c>
      <c r="C64" s="451" t="s">
        <v>15</v>
      </c>
      <c r="D64" s="451"/>
      <c r="E64" s="94">
        <f t="shared" si="0"/>
        <v>0</v>
      </c>
      <c r="F64" s="94"/>
      <c r="G64" s="95"/>
      <c r="H64" s="95" t="e">
        <f t="shared" si="1"/>
        <v>#DIV/0!</v>
      </c>
    </row>
    <row r="65" spans="1:8" ht="14.85" hidden="1" customHeight="1" x14ac:dyDescent="0.2">
      <c r="A65" s="450"/>
      <c r="B65" s="451"/>
      <c r="C65" s="459" t="s">
        <v>2</v>
      </c>
      <c r="D65" s="459"/>
      <c r="E65" s="94">
        <f t="shared" si="0"/>
        <v>0</v>
      </c>
      <c r="F65" s="94"/>
      <c r="G65" s="95"/>
      <c r="H65" s="95" t="e">
        <f t="shared" si="1"/>
        <v>#DIV/0!</v>
      </c>
    </row>
    <row r="66" spans="1:8" ht="14.85" hidden="1" customHeight="1" x14ac:dyDescent="0.2">
      <c r="A66" s="450"/>
      <c r="B66" s="451"/>
      <c r="C66" s="453" t="s">
        <v>9</v>
      </c>
      <c r="D66" s="453"/>
      <c r="E66" s="94">
        <f t="shared" si="0"/>
        <v>0</v>
      </c>
      <c r="F66" s="94"/>
      <c r="G66" s="95"/>
      <c r="H66" s="95" t="e">
        <f t="shared" si="1"/>
        <v>#DIV/0!</v>
      </c>
    </row>
    <row r="67" spans="1:8" ht="14.85" customHeight="1" x14ac:dyDescent="0.2">
      <c r="A67" s="450"/>
      <c r="B67" s="453" t="s">
        <v>24</v>
      </c>
      <c r="C67" s="453"/>
      <c r="D67" s="453"/>
      <c r="E67" s="94">
        <f t="shared" si="0"/>
        <v>0</v>
      </c>
      <c r="F67" s="94"/>
      <c r="G67" s="95"/>
      <c r="H67" s="95" t="e">
        <f t="shared" si="1"/>
        <v>#DIV/0!</v>
      </c>
    </row>
    <row r="68" spans="1:8" ht="14.85" customHeight="1" x14ac:dyDescent="0.2">
      <c r="A68" s="450"/>
      <c r="B68" s="453" t="s">
        <v>25</v>
      </c>
      <c r="C68" s="453"/>
      <c r="D68" s="453"/>
      <c r="E68" s="94">
        <f t="shared" si="0"/>
        <v>0</v>
      </c>
      <c r="F68" s="94"/>
      <c r="G68" s="95"/>
      <c r="H68" s="95" t="e">
        <f t="shared" si="1"/>
        <v>#DIV/0!</v>
      </c>
    </row>
    <row r="69" spans="1:8" ht="14.85" customHeight="1" x14ac:dyDescent="0.2">
      <c r="A69" s="450"/>
      <c r="B69" s="451" t="s">
        <v>11</v>
      </c>
      <c r="C69" s="451" t="s">
        <v>79</v>
      </c>
      <c r="D69" s="451"/>
      <c r="E69" s="94">
        <f t="shared" si="0"/>
        <v>0</v>
      </c>
      <c r="F69" s="94"/>
      <c r="G69" s="95"/>
      <c r="H69" s="95" t="e">
        <f t="shared" si="1"/>
        <v>#DIV/0!</v>
      </c>
    </row>
    <row r="70" spans="1:8" ht="14.85" customHeight="1" x14ac:dyDescent="0.2">
      <c r="A70" s="450"/>
      <c r="B70" s="451"/>
      <c r="C70" s="457" t="s">
        <v>81</v>
      </c>
      <c r="D70" s="458"/>
      <c r="E70" s="94">
        <f t="shared" si="0"/>
        <v>0</v>
      </c>
      <c r="F70" s="94"/>
      <c r="G70" s="95"/>
      <c r="H70" s="95" t="e">
        <f t="shared" si="1"/>
        <v>#DIV/0!</v>
      </c>
    </row>
    <row r="71" spans="1:8" ht="14.85" customHeight="1" x14ac:dyDescent="0.2">
      <c r="A71" s="450"/>
      <c r="B71" s="451"/>
      <c r="C71" s="451" t="s">
        <v>11</v>
      </c>
      <c r="D71" s="53" t="s">
        <v>15</v>
      </c>
      <c r="E71" s="94">
        <f t="shared" si="0"/>
        <v>0</v>
      </c>
      <c r="F71" s="94"/>
      <c r="G71" s="95"/>
      <c r="H71" s="95" t="e">
        <f t="shared" si="1"/>
        <v>#DIV/0!</v>
      </c>
    </row>
    <row r="72" spans="1:8" ht="14.85" customHeight="1" x14ac:dyDescent="0.2">
      <c r="A72" s="450"/>
      <c r="B72" s="451"/>
      <c r="C72" s="451"/>
      <c r="D72" s="61" t="s">
        <v>12</v>
      </c>
      <c r="E72" s="94">
        <f t="shared" si="0"/>
        <v>0</v>
      </c>
      <c r="F72" s="94"/>
      <c r="G72" s="95"/>
      <c r="H72" s="95" t="e">
        <f t="shared" si="1"/>
        <v>#DIV/0!</v>
      </c>
    </row>
    <row r="73" spans="1:8" ht="14.85" customHeight="1" x14ac:dyDescent="0.2">
      <c r="A73" s="450"/>
      <c r="B73" s="451"/>
      <c r="C73" s="451"/>
      <c r="D73" s="63" t="s">
        <v>3</v>
      </c>
      <c r="E73" s="94">
        <f t="shared" si="0"/>
        <v>0</v>
      </c>
      <c r="F73" s="94"/>
      <c r="G73" s="95"/>
      <c r="H73" s="95" t="e">
        <f t="shared" si="1"/>
        <v>#DIV/0!</v>
      </c>
    </row>
    <row r="74" spans="1:8" ht="14.85" customHeight="1" x14ac:dyDescent="0.2">
      <c r="A74" s="450"/>
      <c r="B74" s="451"/>
      <c r="C74" s="451"/>
      <c r="D74" s="62" t="s">
        <v>18</v>
      </c>
      <c r="E74" s="94">
        <f t="shared" si="0"/>
        <v>0</v>
      </c>
      <c r="F74" s="94"/>
      <c r="G74" s="95"/>
      <c r="H74" s="95" t="e">
        <f t="shared" si="1"/>
        <v>#DIV/0!</v>
      </c>
    </row>
    <row r="75" spans="1:8" ht="14.85" customHeight="1" x14ac:dyDescent="0.2">
      <c r="A75" s="450"/>
      <c r="B75" s="451"/>
      <c r="C75" s="453" t="s">
        <v>9</v>
      </c>
      <c r="D75" s="453"/>
      <c r="E75" s="94">
        <f t="shared" si="0"/>
        <v>0</v>
      </c>
      <c r="F75" s="94"/>
      <c r="G75" s="95"/>
      <c r="H75" s="95" t="e">
        <f t="shared" si="1"/>
        <v>#DIV/0!</v>
      </c>
    </row>
    <row r="76" spans="1:8" ht="14.85" customHeight="1" x14ac:dyDescent="0.2">
      <c r="A76" s="60" t="s">
        <v>59</v>
      </c>
      <c r="B76" s="451" t="s">
        <v>72</v>
      </c>
      <c r="C76" s="451"/>
      <c r="D76" s="451"/>
      <c r="E76" s="94">
        <f t="shared" si="0"/>
        <v>0</v>
      </c>
      <c r="F76" s="94"/>
      <c r="G76" s="95"/>
      <c r="H76" s="95" t="e">
        <f t="shared" si="1"/>
        <v>#DIV/0!</v>
      </c>
    </row>
  </sheetData>
  <mergeCells count="71">
    <mergeCell ref="I2:I3"/>
    <mergeCell ref="H2:H3"/>
    <mergeCell ref="G2:G3"/>
    <mergeCell ref="B76:D76"/>
    <mergeCell ref="B64:B66"/>
    <mergeCell ref="C64:D64"/>
    <mergeCell ref="C65:D65"/>
    <mergeCell ref="C66:D66"/>
    <mergeCell ref="B67:D67"/>
    <mergeCell ref="B68:D68"/>
    <mergeCell ref="B69:B75"/>
    <mergeCell ref="C69:D69"/>
    <mergeCell ref="C70:D70"/>
    <mergeCell ref="C71:C74"/>
    <mergeCell ref="C75:D75"/>
    <mergeCell ref="B56:B59"/>
    <mergeCell ref="C56:D56"/>
    <mergeCell ref="C57:C58"/>
    <mergeCell ref="C59:D59"/>
    <mergeCell ref="B60:B62"/>
    <mergeCell ref="C60:C61"/>
    <mergeCell ref="C62:D63"/>
    <mergeCell ref="A41:A75"/>
    <mergeCell ref="B41:B43"/>
    <mergeCell ref="C41:D41"/>
    <mergeCell ref="C42:D42"/>
    <mergeCell ref="C43:D43"/>
    <mergeCell ref="B44:B47"/>
    <mergeCell ref="C44:D44"/>
    <mergeCell ref="C45:D45"/>
    <mergeCell ref="C46:D46"/>
    <mergeCell ref="C47:D47"/>
    <mergeCell ref="B48:B55"/>
    <mergeCell ref="C48:D48"/>
    <mergeCell ref="C49:D49"/>
    <mergeCell ref="C50:D50"/>
    <mergeCell ref="C51:C54"/>
    <mergeCell ref="C55:D55"/>
    <mergeCell ref="B30:D30"/>
    <mergeCell ref="B31:D31"/>
    <mergeCell ref="B32:B38"/>
    <mergeCell ref="C32:D32"/>
    <mergeCell ref="C33:D33"/>
    <mergeCell ref="C34:C37"/>
    <mergeCell ref="C38:D38"/>
    <mergeCell ref="B22:B25"/>
    <mergeCell ref="C22:D22"/>
    <mergeCell ref="C23:C24"/>
    <mergeCell ref="C25:D25"/>
    <mergeCell ref="B26:D26"/>
    <mergeCell ref="C14:D14"/>
    <mergeCell ref="C15:D15"/>
    <mergeCell ref="C16:D16"/>
    <mergeCell ref="C17:C20"/>
    <mergeCell ref="C21:D21"/>
    <mergeCell ref="A1:I1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B27:B29"/>
    <mergeCell ref="C27:D27"/>
    <mergeCell ref="C28:D28"/>
    <mergeCell ref="C29:D29"/>
    <mergeCell ref="C13:D13"/>
    <mergeCell ref="B14:B21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ECB6E-AD4D-44EB-B698-26D7707D332C}">
  <sheetPr codeName="Sheet8"/>
  <dimension ref="A1:K38"/>
  <sheetViews>
    <sheetView workbookViewId="0">
      <selection activeCell="F17" sqref="F17"/>
    </sheetView>
  </sheetViews>
  <sheetFormatPr defaultRowHeight="14.1" customHeight="1" x14ac:dyDescent="0.2"/>
  <cols>
    <col min="1" max="1" width="11.125" customWidth="1"/>
    <col min="5" max="5" width="10.75" customWidth="1"/>
  </cols>
  <sheetData>
    <row r="1" spans="1:11" ht="14.1" customHeight="1" x14ac:dyDescent="0.2">
      <c r="A1" s="439" t="s">
        <v>194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14.1" customHeight="1" thickBot="1" x14ac:dyDescent="0.25">
      <c r="A2" s="171" t="s">
        <v>5</v>
      </c>
      <c r="B2" s="172">
        <v>2972.61</v>
      </c>
      <c r="C2" s="169" t="s">
        <v>29</v>
      </c>
      <c r="D2" s="173">
        <v>5570.65</v>
      </c>
      <c r="E2" s="44" t="s">
        <v>61</v>
      </c>
      <c r="F2" s="103">
        <v>22388.45</v>
      </c>
      <c r="G2" s="433" t="s">
        <v>139</v>
      </c>
      <c r="H2" s="435">
        <f>F3/F2/30*365*100</f>
        <v>12.059908866699869</v>
      </c>
      <c r="I2" s="437" t="s">
        <v>62</v>
      </c>
    </row>
    <row r="3" spans="1:11" ht="14.1" customHeight="1" x14ac:dyDescent="0.2">
      <c r="A3" s="176" t="s">
        <v>198</v>
      </c>
      <c r="B3" s="177">
        <v>175.77</v>
      </c>
      <c r="C3" s="178" t="s">
        <v>86</v>
      </c>
      <c r="D3" s="179">
        <v>3547.69</v>
      </c>
      <c r="E3" s="58" t="s">
        <v>56</v>
      </c>
      <c r="F3" s="66">
        <v>221.92000000000002</v>
      </c>
      <c r="G3" s="434"/>
      <c r="H3" s="436"/>
      <c r="I3" s="438"/>
    </row>
    <row r="4" spans="1:11" ht="14.1" customHeight="1" x14ac:dyDescent="0.2">
      <c r="A4" s="191" t="s">
        <v>225</v>
      </c>
      <c r="B4" s="87">
        <f>F5/(30-H5)*30</f>
        <v>1363.1869565217389</v>
      </c>
      <c r="C4" s="174" t="s">
        <v>197</v>
      </c>
      <c r="D4" s="181">
        <v>456.29</v>
      </c>
      <c r="E4" s="43" t="s">
        <v>189</v>
      </c>
      <c r="F4" s="95">
        <v>105.58</v>
      </c>
      <c r="G4" s="43" t="s">
        <v>188</v>
      </c>
      <c r="H4" s="43">
        <v>-116.34</v>
      </c>
      <c r="J4" s="43"/>
      <c r="K4" s="43"/>
    </row>
    <row r="5" spans="1:11" ht="14.1" customHeight="1" thickBot="1" x14ac:dyDescent="0.25">
      <c r="A5" s="182" t="s">
        <v>131</v>
      </c>
      <c r="B5" s="183">
        <v>276.56</v>
      </c>
      <c r="C5" s="184" t="s">
        <v>196</v>
      </c>
      <c r="D5" s="185">
        <v>69.23</v>
      </c>
      <c r="E5" s="180" t="s">
        <v>138</v>
      </c>
      <c r="F5" s="175">
        <v>1045.1099999999999</v>
      </c>
      <c r="G5" s="43" t="s">
        <v>226</v>
      </c>
      <c r="H5" s="1">
        <v>7</v>
      </c>
      <c r="I5" s="7" t="s">
        <v>251</v>
      </c>
      <c r="J5" s="43"/>
      <c r="K5" s="43"/>
    </row>
    <row r="6" spans="1:11" ht="14.1" customHeight="1" x14ac:dyDescent="0.2">
      <c r="A6" s="7"/>
      <c r="B6" s="7"/>
      <c r="C6" s="7"/>
      <c r="D6" s="69"/>
      <c r="E6" s="43"/>
      <c r="F6" s="43"/>
      <c r="G6" s="43"/>
      <c r="H6" s="7"/>
      <c r="I6" s="7"/>
      <c r="J6" s="43"/>
      <c r="K6" s="43"/>
    </row>
    <row r="7" spans="1:11" ht="14.1" customHeight="1" x14ac:dyDescent="0.2">
      <c r="A7" s="440" t="s">
        <v>14</v>
      </c>
      <c r="B7" s="441" t="s">
        <v>123</v>
      </c>
      <c r="C7" s="441" t="s">
        <v>15</v>
      </c>
      <c r="D7" s="441"/>
      <c r="E7" s="95">
        <v>978.7399999999999</v>
      </c>
      <c r="F7" s="43"/>
      <c r="G7" s="43"/>
      <c r="H7" s="43"/>
      <c r="I7" s="43"/>
      <c r="J7" s="43"/>
      <c r="K7" s="43"/>
    </row>
    <row r="8" spans="1:11" ht="14.1" customHeight="1" x14ac:dyDescent="0.2">
      <c r="A8" s="440"/>
      <c r="B8" s="441"/>
      <c r="C8" s="442" t="s">
        <v>63</v>
      </c>
      <c r="D8" s="442"/>
      <c r="E8" s="95">
        <v>17.13</v>
      </c>
      <c r="F8" s="43"/>
      <c r="G8" s="43"/>
      <c r="H8" s="43"/>
      <c r="I8" s="43"/>
      <c r="J8" s="43"/>
      <c r="K8" s="43"/>
    </row>
    <row r="9" spans="1:11" ht="14.1" customHeight="1" x14ac:dyDescent="0.2">
      <c r="A9" s="440"/>
      <c r="B9" s="441"/>
      <c r="C9" s="443" t="s">
        <v>9</v>
      </c>
      <c r="D9" s="443"/>
      <c r="E9" s="166">
        <v>961.6099999999999</v>
      </c>
      <c r="F9" s="43"/>
      <c r="G9" s="43"/>
      <c r="H9" s="43"/>
      <c r="I9" s="43"/>
      <c r="J9" s="43"/>
      <c r="K9" s="43"/>
    </row>
    <row r="10" spans="1:11" ht="14.1" customHeight="1" x14ac:dyDescent="0.2">
      <c r="A10" s="440"/>
      <c r="B10" s="444" t="s">
        <v>16</v>
      </c>
      <c r="C10" s="447" t="s">
        <v>15</v>
      </c>
      <c r="D10" s="448"/>
      <c r="E10" s="167">
        <v>144.28999999999994</v>
      </c>
      <c r="F10" s="43"/>
      <c r="G10" s="43"/>
      <c r="H10" s="43"/>
      <c r="I10" s="43"/>
      <c r="J10" s="43"/>
      <c r="K10" s="43"/>
    </row>
    <row r="11" spans="1:11" ht="14.1" customHeight="1" x14ac:dyDescent="0.2">
      <c r="A11" s="440"/>
      <c r="B11" s="445"/>
      <c r="C11" s="447" t="s">
        <v>53</v>
      </c>
      <c r="D11" s="448"/>
      <c r="E11" s="166">
        <v>38</v>
      </c>
      <c r="F11" s="95">
        <v>12</v>
      </c>
      <c r="G11" s="43" t="s">
        <v>84</v>
      </c>
      <c r="H11" s="43"/>
      <c r="I11" s="43"/>
      <c r="J11" s="43"/>
      <c r="K11" s="43"/>
    </row>
    <row r="12" spans="1:11" ht="14.1" customHeight="1" x14ac:dyDescent="0.2">
      <c r="A12" s="440"/>
      <c r="B12" s="445"/>
      <c r="C12" s="447" t="s">
        <v>51</v>
      </c>
      <c r="D12" s="448"/>
      <c r="E12" s="166">
        <v>0</v>
      </c>
      <c r="F12" s="43"/>
      <c r="G12" s="43"/>
      <c r="H12" s="43"/>
      <c r="I12" s="43"/>
      <c r="J12" s="43"/>
      <c r="K12" s="43"/>
    </row>
    <row r="13" spans="1:11" ht="14.1" customHeight="1" x14ac:dyDescent="0.2">
      <c r="A13" s="440"/>
      <c r="B13" s="446"/>
      <c r="C13" s="447" t="s">
        <v>52</v>
      </c>
      <c r="D13" s="448"/>
      <c r="E13" s="166">
        <v>36.449999999999974</v>
      </c>
      <c r="F13" s="95">
        <v>16.5</v>
      </c>
      <c r="G13" s="43" t="s">
        <v>83</v>
      </c>
      <c r="H13" s="43"/>
      <c r="I13" s="43"/>
      <c r="J13" s="43"/>
      <c r="K13" s="43"/>
    </row>
    <row r="14" spans="1:11" ht="14.1" customHeight="1" x14ac:dyDescent="0.2">
      <c r="A14" s="440"/>
      <c r="B14" s="441" t="s">
        <v>10</v>
      </c>
      <c r="C14" s="441" t="s">
        <v>15</v>
      </c>
      <c r="D14" s="441"/>
      <c r="E14" s="95">
        <v>1961.57</v>
      </c>
      <c r="F14" s="43"/>
      <c r="G14" s="43"/>
      <c r="H14" s="43"/>
      <c r="I14" s="43"/>
      <c r="J14" s="43"/>
      <c r="K14" s="43"/>
    </row>
    <row r="15" spans="1:11" ht="14.1" customHeight="1" x14ac:dyDescent="0.2">
      <c r="A15" s="440"/>
      <c r="B15" s="441"/>
      <c r="C15" s="449" t="s">
        <v>186</v>
      </c>
      <c r="D15" s="449"/>
      <c r="E15" s="95">
        <v>178.81</v>
      </c>
      <c r="F15" s="43"/>
      <c r="G15" s="43"/>
      <c r="H15" s="43"/>
      <c r="I15" s="43"/>
      <c r="J15" s="43"/>
      <c r="K15" s="43"/>
    </row>
    <row r="16" spans="1:11" ht="14.1" customHeight="1" x14ac:dyDescent="0.2">
      <c r="A16" s="440"/>
      <c r="B16" s="441"/>
      <c r="C16" s="449" t="s">
        <v>4</v>
      </c>
      <c r="D16" s="449"/>
      <c r="E16" s="95">
        <v>1475.51</v>
      </c>
      <c r="F16" s="43"/>
      <c r="G16" s="43"/>
      <c r="H16" s="43"/>
      <c r="I16" s="43"/>
      <c r="J16" s="43"/>
      <c r="K16" s="43"/>
    </row>
    <row r="17" spans="1:11" ht="14.1" customHeight="1" x14ac:dyDescent="0.2">
      <c r="A17" s="440"/>
      <c r="B17" s="441"/>
      <c r="C17" s="441" t="s">
        <v>11</v>
      </c>
      <c r="D17" s="44" t="s">
        <v>15</v>
      </c>
      <c r="E17" s="95">
        <v>288.34000000000003</v>
      </c>
      <c r="F17" s="43"/>
      <c r="G17" s="43"/>
      <c r="H17" s="43"/>
      <c r="I17" s="43"/>
      <c r="J17" s="43"/>
      <c r="K17" s="43"/>
    </row>
    <row r="18" spans="1:11" ht="14.1" customHeight="1" x14ac:dyDescent="0.2">
      <c r="A18" s="440"/>
      <c r="B18" s="441"/>
      <c r="C18" s="441"/>
      <c r="D18" s="49" t="s">
        <v>18</v>
      </c>
      <c r="E18" s="167">
        <v>28.400000000000034</v>
      </c>
      <c r="F18" s="43"/>
      <c r="G18" s="43"/>
      <c r="H18" s="43"/>
      <c r="I18" s="43"/>
      <c r="J18" s="43"/>
      <c r="K18" s="43"/>
    </row>
    <row r="19" spans="1:11" ht="14.1" customHeight="1" x14ac:dyDescent="0.2">
      <c r="A19" s="440"/>
      <c r="B19" s="441"/>
      <c r="C19" s="441"/>
      <c r="D19" s="52" t="s">
        <v>130</v>
      </c>
      <c r="E19" s="95">
        <v>0</v>
      </c>
      <c r="F19" s="43"/>
      <c r="G19" s="43"/>
      <c r="H19" s="43"/>
      <c r="I19" s="43"/>
      <c r="J19" s="43"/>
      <c r="K19" s="43"/>
    </row>
    <row r="20" spans="1:11" ht="14.1" customHeight="1" x14ac:dyDescent="0.2">
      <c r="A20" s="440"/>
      <c r="B20" s="441"/>
      <c r="C20" s="441"/>
      <c r="D20" s="48" t="s">
        <v>12</v>
      </c>
      <c r="E20" s="95">
        <v>259.94</v>
      </c>
      <c r="F20" s="43"/>
      <c r="G20" s="43"/>
      <c r="H20" s="43"/>
      <c r="I20" s="43"/>
      <c r="J20" s="43"/>
      <c r="K20" s="43"/>
    </row>
    <row r="21" spans="1:11" ht="14.1" customHeight="1" x14ac:dyDescent="0.2">
      <c r="A21" s="440"/>
      <c r="B21" s="441"/>
      <c r="C21" s="442" t="s">
        <v>9</v>
      </c>
      <c r="D21" s="442"/>
      <c r="E21" s="95">
        <v>18.909999999999968</v>
      </c>
      <c r="F21" s="43"/>
      <c r="G21" s="43"/>
      <c r="H21" s="43"/>
      <c r="I21" s="43"/>
      <c r="J21" s="43"/>
      <c r="K21" s="43"/>
    </row>
    <row r="22" spans="1:11" ht="14.1" customHeight="1" x14ac:dyDescent="0.2">
      <c r="A22" s="440"/>
      <c r="B22" s="441" t="s">
        <v>19</v>
      </c>
      <c r="C22" s="441" t="s">
        <v>15</v>
      </c>
      <c r="D22" s="441"/>
      <c r="E22" s="95">
        <v>3871.87</v>
      </c>
      <c r="F22" s="43"/>
      <c r="G22" s="43"/>
      <c r="H22" s="43"/>
      <c r="I22" s="43"/>
      <c r="J22" s="43"/>
      <c r="K22" s="43"/>
    </row>
    <row r="23" spans="1:11" ht="14.1" customHeight="1" x14ac:dyDescent="0.2">
      <c r="A23" s="440"/>
      <c r="B23" s="441"/>
      <c r="C23" s="449" t="s">
        <v>130</v>
      </c>
      <c r="D23" s="52" t="s">
        <v>117</v>
      </c>
      <c r="E23" s="95">
        <v>3804.87</v>
      </c>
      <c r="F23" s="43"/>
      <c r="G23" s="43"/>
      <c r="H23" s="43"/>
      <c r="I23" s="43"/>
      <c r="J23" s="43"/>
      <c r="K23" s="43"/>
    </row>
    <row r="24" spans="1:11" ht="14.1" customHeight="1" x14ac:dyDescent="0.2">
      <c r="A24" s="440"/>
      <c r="B24" s="441"/>
      <c r="C24" s="449"/>
      <c r="D24" s="52" t="s">
        <v>21</v>
      </c>
      <c r="E24" s="95">
        <v>0</v>
      </c>
      <c r="F24" s="43"/>
      <c r="G24" s="43"/>
      <c r="H24" s="43"/>
      <c r="I24" s="43"/>
      <c r="J24" s="43"/>
      <c r="K24" s="43"/>
    </row>
    <row r="25" spans="1:11" ht="14.1" customHeight="1" x14ac:dyDescent="0.2">
      <c r="A25" s="440"/>
      <c r="B25" s="441"/>
      <c r="C25" s="442" t="s">
        <v>9</v>
      </c>
      <c r="D25" s="442"/>
      <c r="E25" s="95">
        <v>67</v>
      </c>
      <c r="F25" s="43"/>
      <c r="G25" s="43"/>
      <c r="H25" s="43"/>
      <c r="I25" s="43"/>
      <c r="J25" s="43"/>
      <c r="K25" s="43"/>
    </row>
    <row r="26" spans="1:11" ht="14.1" customHeight="1" x14ac:dyDescent="0.2">
      <c r="A26" s="440"/>
      <c r="B26" s="443" t="s">
        <v>22</v>
      </c>
      <c r="C26" s="443"/>
      <c r="D26" s="443"/>
      <c r="E26" s="166">
        <v>269.81000000000006</v>
      </c>
      <c r="F26" s="43"/>
      <c r="G26" s="43"/>
      <c r="H26" s="43"/>
      <c r="I26" s="43"/>
      <c r="J26" s="43"/>
      <c r="K26" s="43"/>
    </row>
    <row r="27" spans="1:11" ht="14.1" customHeight="1" x14ac:dyDescent="0.2">
      <c r="A27" s="440"/>
      <c r="B27" s="441" t="s">
        <v>124</v>
      </c>
      <c r="C27" s="441" t="s">
        <v>15</v>
      </c>
      <c r="D27" s="441"/>
      <c r="E27" s="95">
        <v>322.2</v>
      </c>
      <c r="F27" s="43"/>
      <c r="G27" s="43"/>
      <c r="H27" s="43"/>
      <c r="I27" s="43"/>
      <c r="J27" s="43"/>
      <c r="K27" s="43"/>
    </row>
    <row r="28" spans="1:11" ht="14.1" customHeight="1" x14ac:dyDescent="0.2">
      <c r="A28" s="440"/>
      <c r="B28" s="441"/>
      <c r="C28" s="449" t="s">
        <v>187</v>
      </c>
      <c r="D28" s="449"/>
      <c r="E28" s="95">
        <v>320</v>
      </c>
      <c r="F28" s="43"/>
      <c r="G28" s="43"/>
      <c r="H28" s="43"/>
      <c r="I28" s="43"/>
      <c r="J28" s="43"/>
      <c r="K28" s="43"/>
    </row>
    <row r="29" spans="1:11" ht="14.1" customHeight="1" x14ac:dyDescent="0.2">
      <c r="A29" s="440"/>
      <c r="B29" s="441"/>
      <c r="C29" s="443" t="s">
        <v>9</v>
      </c>
      <c r="D29" s="443"/>
      <c r="E29" s="167">
        <v>2.1999999999999886</v>
      </c>
      <c r="F29" s="43"/>
      <c r="G29" s="43"/>
      <c r="H29" s="43"/>
      <c r="I29" s="43"/>
      <c r="J29" s="43"/>
      <c r="K29" s="43"/>
    </row>
    <row r="30" spans="1:11" ht="14.1" customHeight="1" x14ac:dyDescent="0.2">
      <c r="A30" s="440"/>
      <c r="B30" s="443" t="s">
        <v>125</v>
      </c>
      <c r="C30" s="443"/>
      <c r="D30" s="443"/>
      <c r="E30" s="167">
        <v>2.4899999999999998</v>
      </c>
      <c r="F30" s="43"/>
      <c r="G30" s="43"/>
      <c r="H30" s="43"/>
      <c r="I30" s="43"/>
      <c r="J30" s="43"/>
      <c r="K30" s="43"/>
    </row>
    <row r="31" spans="1:11" ht="14.1" customHeight="1" x14ac:dyDescent="0.2">
      <c r="A31" s="440"/>
      <c r="B31" s="443" t="s">
        <v>25</v>
      </c>
      <c r="C31" s="443"/>
      <c r="D31" s="443"/>
      <c r="E31" s="167">
        <v>9.83</v>
      </c>
      <c r="F31" s="43"/>
      <c r="G31" s="43"/>
      <c r="H31" s="43"/>
      <c r="I31" s="43"/>
      <c r="J31" s="43"/>
      <c r="K31" s="43"/>
    </row>
    <row r="32" spans="1:11" ht="14.1" customHeight="1" x14ac:dyDescent="0.2">
      <c r="A32" s="440"/>
      <c r="B32" s="441" t="s">
        <v>11</v>
      </c>
      <c r="C32" s="441" t="s">
        <v>15</v>
      </c>
      <c r="D32" s="441"/>
      <c r="E32" s="95">
        <v>7.8000000000000007</v>
      </c>
      <c r="F32" s="43"/>
      <c r="G32" s="43"/>
      <c r="H32" s="43"/>
      <c r="I32" s="43"/>
      <c r="J32" s="43"/>
      <c r="K32" s="43"/>
    </row>
    <row r="33" spans="1:11" ht="14.1" customHeight="1" x14ac:dyDescent="0.2">
      <c r="A33" s="440"/>
      <c r="B33" s="441"/>
      <c r="C33" s="447" t="s">
        <v>58</v>
      </c>
      <c r="D33" s="448"/>
      <c r="E33" s="154">
        <v>2.13</v>
      </c>
      <c r="F33" s="43"/>
      <c r="G33" s="43"/>
      <c r="H33" s="43"/>
      <c r="I33" s="43"/>
      <c r="J33" s="43"/>
      <c r="K33" s="43"/>
    </row>
    <row r="34" spans="1:11" ht="14.1" customHeight="1" x14ac:dyDescent="0.2">
      <c r="A34" s="440"/>
      <c r="B34" s="441"/>
      <c r="C34" s="441" t="s">
        <v>11</v>
      </c>
      <c r="D34" s="44" t="s">
        <v>15</v>
      </c>
      <c r="E34" s="95">
        <v>0</v>
      </c>
      <c r="F34" s="43"/>
      <c r="G34" s="43"/>
      <c r="H34" s="43"/>
      <c r="I34" s="43"/>
      <c r="J34" s="43"/>
      <c r="K34" s="43"/>
    </row>
    <row r="35" spans="1:11" ht="14.1" customHeight="1" x14ac:dyDescent="0.2">
      <c r="A35" s="440"/>
      <c r="B35" s="441"/>
      <c r="C35" s="441"/>
      <c r="D35" s="48" t="s">
        <v>12</v>
      </c>
      <c r="E35" s="95">
        <v>0</v>
      </c>
      <c r="F35" s="43"/>
      <c r="G35" s="43"/>
      <c r="H35" s="43"/>
      <c r="I35" s="43"/>
      <c r="J35" s="43"/>
      <c r="K35" s="43"/>
    </row>
    <row r="36" spans="1:11" ht="14.1" customHeight="1" x14ac:dyDescent="0.2">
      <c r="A36" s="440"/>
      <c r="B36" s="441"/>
      <c r="C36" s="441"/>
      <c r="D36" s="52" t="s">
        <v>130</v>
      </c>
      <c r="E36" s="95">
        <v>0</v>
      </c>
      <c r="F36" s="43"/>
      <c r="G36" s="43"/>
      <c r="H36" s="43"/>
      <c r="I36" s="43"/>
      <c r="J36" s="43"/>
      <c r="K36" s="43"/>
    </row>
    <row r="37" spans="1:11" ht="14.1" customHeight="1" x14ac:dyDescent="0.2">
      <c r="A37" s="440"/>
      <c r="B37" s="441"/>
      <c r="C37" s="441"/>
      <c r="D37" s="49" t="s">
        <v>18</v>
      </c>
      <c r="E37" s="167">
        <v>-1.5923992384841452E-2</v>
      </c>
      <c r="F37" s="43"/>
      <c r="G37" s="43"/>
      <c r="H37" s="43"/>
      <c r="I37" s="113"/>
      <c r="J37" s="43"/>
      <c r="K37" s="43"/>
    </row>
    <row r="38" spans="1:11" ht="14.1" customHeight="1" x14ac:dyDescent="0.2">
      <c r="A38" s="440"/>
      <c r="B38" s="441"/>
      <c r="C38" s="443" t="s">
        <v>9</v>
      </c>
      <c r="D38" s="443"/>
      <c r="E38" s="167">
        <v>5.6700000000000008</v>
      </c>
      <c r="F38" s="43"/>
      <c r="G38" s="43"/>
      <c r="H38" s="43"/>
      <c r="I38" s="113"/>
      <c r="J38" s="43"/>
      <c r="K38" s="43"/>
    </row>
  </sheetData>
  <mergeCells count="36">
    <mergeCell ref="B30:D30"/>
    <mergeCell ref="B31:D31"/>
    <mergeCell ref="B32:B38"/>
    <mergeCell ref="C32:D32"/>
    <mergeCell ref="C33:D33"/>
    <mergeCell ref="C34:C37"/>
    <mergeCell ref="C38:D38"/>
    <mergeCell ref="C28:D28"/>
    <mergeCell ref="C29:D29"/>
    <mergeCell ref="B14:B21"/>
    <mergeCell ref="C14:D14"/>
    <mergeCell ref="C15:D15"/>
    <mergeCell ref="C16:D16"/>
    <mergeCell ref="C17:C20"/>
    <mergeCell ref="C21:D21"/>
    <mergeCell ref="B22:B25"/>
    <mergeCell ref="C22:D22"/>
    <mergeCell ref="C23:C24"/>
    <mergeCell ref="C25:D25"/>
    <mergeCell ref="B26:D26"/>
    <mergeCell ref="A1:I1"/>
    <mergeCell ref="G2:G3"/>
    <mergeCell ref="H2:H3"/>
    <mergeCell ref="I2:I3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C13:D13"/>
    <mergeCell ref="B27:B29"/>
    <mergeCell ref="C27:D27"/>
  </mergeCells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7B20-1BE7-46DD-9BFA-85D22CBD2B85}">
  <sheetPr codeName="Sheet9"/>
  <dimension ref="A1:K38"/>
  <sheetViews>
    <sheetView workbookViewId="0">
      <selection activeCell="F17" sqref="F17"/>
    </sheetView>
  </sheetViews>
  <sheetFormatPr defaultRowHeight="15" customHeight="1" x14ac:dyDescent="0.2"/>
  <cols>
    <col min="1" max="1" width="15.75" customWidth="1"/>
    <col min="8" max="8" width="10.75" customWidth="1"/>
  </cols>
  <sheetData>
    <row r="1" spans="1:11" ht="15" customHeight="1" x14ac:dyDescent="0.2">
      <c r="A1" s="439" t="s">
        <v>185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15" customHeight="1" thickBot="1" x14ac:dyDescent="0.25">
      <c r="A2" s="48" t="s">
        <v>5</v>
      </c>
      <c r="B2" s="101">
        <v>3879.58</v>
      </c>
      <c r="C2" s="49" t="s">
        <v>29</v>
      </c>
      <c r="D2" s="98">
        <v>7590.8</v>
      </c>
      <c r="E2" s="44" t="s">
        <v>61</v>
      </c>
      <c r="F2" s="116">
        <v>13634.899999999998</v>
      </c>
      <c r="G2" s="155" t="s">
        <v>191</v>
      </c>
      <c r="H2" s="157">
        <v>4.4107278625683612</v>
      </c>
      <c r="I2" s="158" t="s">
        <v>62</v>
      </c>
      <c r="J2" s="43" t="s">
        <v>189</v>
      </c>
      <c r="K2" s="43">
        <v>-116.34</v>
      </c>
    </row>
    <row r="3" spans="1:11" ht="15" customHeight="1" x14ac:dyDescent="0.2">
      <c r="A3" s="176" t="s">
        <v>198</v>
      </c>
      <c r="B3" s="177">
        <v>747.95</v>
      </c>
      <c r="C3" s="178" t="s">
        <v>88</v>
      </c>
      <c r="D3" s="179">
        <v>3885.48</v>
      </c>
      <c r="E3" s="58" t="s">
        <v>56</v>
      </c>
      <c r="F3" s="115">
        <v>49.430000000000007</v>
      </c>
      <c r="G3" s="156" t="s">
        <v>120</v>
      </c>
      <c r="H3" s="160">
        <f>(B2-D2)/B2</f>
        <v>-0.95660354986880036</v>
      </c>
      <c r="I3" s="159" t="s">
        <v>62</v>
      </c>
      <c r="J3" s="43" t="s">
        <v>188</v>
      </c>
      <c r="K3" s="43">
        <f>K2-49.43</f>
        <v>-165.77</v>
      </c>
    </row>
    <row r="4" spans="1:11" ht="15" customHeight="1" x14ac:dyDescent="0.2">
      <c r="A4" s="191" t="s">
        <v>225</v>
      </c>
      <c r="B4" s="87">
        <f>F5/(30-H5)*30</f>
        <v>1677.0352941176473</v>
      </c>
      <c r="C4" s="174" t="s">
        <v>197</v>
      </c>
      <c r="D4" s="181">
        <v>423.38</v>
      </c>
      <c r="E4" s="441"/>
      <c r="F4" s="441"/>
      <c r="G4" s="114"/>
      <c r="H4" s="112"/>
      <c r="I4" s="114"/>
      <c r="J4" s="43"/>
      <c r="K4" s="43"/>
    </row>
    <row r="5" spans="1:11" ht="15" customHeight="1" thickBot="1" x14ac:dyDescent="0.25">
      <c r="A5" s="182" t="s">
        <v>131</v>
      </c>
      <c r="B5" s="183">
        <v>1180.24</v>
      </c>
      <c r="C5" s="184" t="s">
        <v>196</v>
      </c>
      <c r="D5" s="185">
        <v>403.43</v>
      </c>
      <c r="E5" s="180" t="s">
        <v>138</v>
      </c>
      <c r="F5" s="175">
        <v>950.32</v>
      </c>
      <c r="G5" s="43" t="s">
        <v>226</v>
      </c>
      <c r="H5" s="1">
        <v>13</v>
      </c>
      <c r="I5" s="7"/>
      <c r="J5" s="43"/>
      <c r="K5" s="43"/>
    </row>
    <row r="6" spans="1:11" ht="15" customHeight="1" x14ac:dyDescent="0.2">
      <c r="A6" s="1"/>
      <c r="B6" s="64"/>
      <c r="C6" s="1"/>
      <c r="D6" s="88"/>
      <c r="E6" s="1"/>
      <c r="F6" s="1"/>
      <c r="G6" s="64"/>
      <c r="H6" s="7"/>
      <c r="I6" s="7"/>
      <c r="J6" s="43"/>
      <c r="K6" s="43"/>
    </row>
    <row r="7" spans="1:11" ht="15" customHeight="1" x14ac:dyDescent="0.2">
      <c r="A7" s="440" t="s">
        <v>14</v>
      </c>
      <c r="B7" s="441" t="s">
        <v>123</v>
      </c>
      <c r="C7" s="441" t="s">
        <v>15</v>
      </c>
      <c r="D7" s="441"/>
      <c r="E7" s="95">
        <v>973.08999999999992</v>
      </c>
      <c r="F7" s="43"/>
      <c r="G7" s="43"/>
      <c r="H7" s="43"/>
      <c r="I7" s="43"/>
      <c r="J7" s="43"/>
      <c r="K7" s="43"/>
    </row>
    <row r="8" spans="1:11" ht="15" customHeight="1" x14ac:dyDescent="0.2">
      <c r="A8" s="440"/>
      <c r="B8" s="441"/>
      <c r="C8" s="442" t="s">
        <v>63</v>
      </c>
      <c r="D8" s="442"/>
      <c r="E8" s="95">
        <v>258.92000000000007</v>
      </c>
      <c r="F8" s="43"/>
      <c r="G8" s="43"/>
      <c r="H8" s="43"/>
      <c r="I8" s="43"/>
      <c r="J8" s="43"/>
      <c r="K8" s="43"/>
    </row>
    <row r="9" spans="1:11" ht="15" customHeight="1" x14ac:dyDescent="0.2">
      <c r="A9" s="440"/>
      <c r="B9" s="441"/>
      <c r="C9" s="443" t="s">
        <v>9</v>
      </c>
      <c r="D9" s="443"/>
      <c r="E9" s="153">
        <v>714.16999999999985</v>
      </c>
      <c r="F9" s="43"/>
      <c r="G9" s="43"/>
      <c r="H9" s="43"/>
      <c r="I9" s="43"/>
      <c r="J9" s="43"/>
      <c r="K9" s="43"/>
    </row>
    <row r="10" spans="1:11" ht="15" customHeight="1" x14ac:dyDescent="0.2">
      <c r="A10" s="440"/>
      <c r="B10" s="444" t="s">
        <v>16</v>
      </c>
      <c r="C10" s="447" t="s">
        <v>15</v>
      </c>
      <c r="D10" s="448"/>
      <c r="E10" s="154">
        <v>836.28999999999951</v>
      </c>
      <c r="F10" s="43"/>
      <c r="G10" s="43"/>
      <c r="H10" s="43"/>
      <c r="I10" s="43"/>
      <c r="J10" s="43"/>
      <c r="K10" s="43"/>
    </row>
    <row r="11" spans="1:11" ht="15" customHeight="1" x14ac:dyDescent="0.2">
      <c r="A11" s="440"/>
      <c r="B11" s="445"/>
      <c r="C11" s="447" t="s">
        <v>53</v>
      </c>
      <c r="D11" s="448"/>
      <c r="E11" s="153">
        <v>37</v>
      </c>
      <c r="F11" s="95">
        <v>18</v>
      </c>
      <c r="G11" s="43" t="s">
        <v>84</v>
      </c>
      <c r="H11" s="43"/>
      <c r="I11" s="43"/>
      <c r="J11" s="43"/>
      <c r="K11" s="43"/>
    </row>
    <row r="12" spans="1:11" ht="15" customHeight="1" x14ac:dyDescent="0.2">
      <c r="A12" s="440"/>
      <c r="B12" s="445"/>
      <c r="C12" s="447" t="s">
        <v>51</v>
      </c>
      <c r="D12" s="448"/>
      <c r="E12" s="153">
        <v>0</v>
      </c>
      <c r="F12" s="43"/>
      <c r="G12" s="43"/>
      <c r="H12" s="43"/>
      <c r="I12" s="43"/>
      <c r="J12" s="43"/>
      <c r="K12" s="43"/>
    </row>
    <row r="13" spans="1:11" ht="15" customHeight="1" x14ac:dyDescent="0.2">
      <c r="A13" s="440"/>
      <c r="B13" s="446"/>
      <c r="C13" s="447" t="s">
        <v>52</v>
      </c>
      <c r="D13" s="448"/>
      <c r="E13" s="153">
        <v>36.449999999999982</v>
      </c>
      <c r="F13" s="95">
        <v>16.5</v>
      </c>
      <c r="G13" s="43" t="s">
        <v>83</v>
      </c>
      <c r="H13" s="43"/>
      <c r="I13" s="43"/>
      <c r="J13" s="43"/>
      <c r="K13" s="43"/>
    </row>
    <row r="14" spans="1:11" ht="15" customHeight="1" x14ac:dyDescent="0.2">
      <c r="A14" s="440"/>
      <c r="B14" s="441" t="s">
        <v>10</v>
      </c>
      <c r="C14" s="441" t="s">
        <v>15</v>
      </c>
      <c r="D14" s="441"/>
      <c r="E14" s="95">
        <v>2011.7900000000002</v>
      </c>
      <c r="F14" s="43"/>
      <c r="G14" s="43"/>
      <c r="H14" s="43"/>
      <c r="I14" s="43"/>
      <c r="J14" s="43"/>
      <c r="K14" s="43"/>
    </row>
    <row r="15" spans="1:11" ht="15" customHeight="1" x14ac:dyDescent="0.2">
      <c r="A15" s="440"/>
      <c r="B15" s="441"/>
      <c r="C15" s="449" t="s">
        <v>186</v>
      </c>
      <c r="D15" s="449"/>
      <c r="E15" s="95">
        <v>70.28</v>
      </c>
      <c r="F15" s="43"/>
      <c r="G15" s="43"/>
      <c r="H15" s="43"/>
      <c r="I15" s="43"/>
      <c r="J15" s="43"/>
      <c r="K15" s="43"/>
    </row>
    <row r="16" spans="1:11" ht="15" customHeight="1" x14ac:dyDescent="0.2">
      <c r="A16" s="440"/>
      <c r="B16" s="441"/>
      <c r="C16" s="449" t="s">
        <v>4</v>
      </c>
      <c r="D16" s="449"/>
      <c r="E16" s="95">
        <v>431.58</v>
      </c>
      <c r="F16" s="43"/>
      <c r="G16" s="43"/>
      <c r="H16" s="43"/>
      <c r="I16" s="43"/>
      <c r="J16" s="43"/>
      <c r="K16" s="43"/>
    </row>
    <row r="17" spans="1:11" ht="15" customHeight="1" x14ac:dyDescent="0.2">
      <c r="A17" s="440"/>
      <c r="B17" s="441"/>
      <c r="C17" s="441" t="s">
        <v>11</v>
      </c>
      <c r="D17" s="44" t="s">
        <v>15</v>
      </c>
      <c r="E17" s="95">
        <v>262.04000000000002</v>
      </c>
      <c r="F17" s="43"/>
      <c r="G17" s="43"/>
      <c r="H17" s="43"/>
      <c r="I17" s="43"/>
      <c r="J17" s="43"/>
      <c r="K17" s="43"/>
    </row>
    <row r="18" spans="1:11" ht="15" customHeight="1" x14ac:dyDescent="0.2">
      <c r="A18" s="440"/>
      <c r="B18" s="441"/>
      <c r="C18" s="441"/>
      <c r="D18" s="49" t="s">
        <v>18</v>
      </c>
      <c r="E18" s="95">
        <v>17.840000000000032</v>
      </c>
      <c r="F18" s="43"/>
      <c r="G18" s="43"/>
      <c r="H18" s="43"/>
      <c r="I18" s="43"/>
      <c r="J18" s="43"/>
      <c r="K18" s="43"/>
    </row>
    <row r="19" spans="1:11" ht="15" customHeight="1" x14ac:dyDescent="0.2">
      <c r="A19" s="440"/>
      <c r="B19" s="441"/>
      <c r="C19" s="441"/>
      <c r="D19" s="52" t="s">
        <v>130</v>
      </c>
      <c r="E19" s="95">
        <v>0</v>
      </c>
      <c r="F19" s="43"/>
      <c r="G19" s="43"/>
      <c r="H19" s="43"/>
      <c r="I19" s="43"/>
      <c r="J19" s="43"/>
      <c r="K19" s="43"/>
    </row>
    <row r="20" spans="1:11" ht="15" customHeight="1" x14ac:dyDescent="0.2">
      <c r="A20" s="440"/>
      <c r="B20" s="441"/>
      <c r="C20" s="441"/>
      <c r="D20" s="48" t="s">
        <v>12</v>
      </c>
      <c r="E20" s="95">
        <v>244.2</v>
      </c>
      <c r="F20" s="43"/>
      <c r="G20" s="43"/>
      <c r="H20" s="43"/>
      <c r="I20" s="43"/>
      <c r="J20" s="43"/>
      <c r="K20" s="43"/>
    </row>
    <row r="21" spans="1:11" ht="15" customHeight="1" x14ac:dyDescent="0.2">
      <c r="A21" s="440"/>
      <c r="B21" s="441"/>
      <c r="C21" s="442" t="s">
        <v>9</v>
      </c>
      <c r="D21" s="442"/>
      <c r="E21" s="95">
        <v>1247.8900000000003</v>
      </c>
      <c r="F21" s="43"/>
      <c r="G21" s="43"/>
      <c r="H21" s="43"/>
      <c r="I21" s="43"/>
      <c r="J21" s="43"/>
      <c r="K21" s="43"/>
    </row>
    <row r="22" spans="1:11" ht="15" customHeight="1" x14ac:dyDescent="0.2">
      <c r="A22" s="440"/>
      <c r="B22" s="441" t="s">
        <v>19</v>
      </c>
      <c r="C22" s="441" t="s">
        <v>15</v>
      </c>
      <c r="D22" s="441"/>
      <c r="E22" s="95">
        <v>2276.1999999999998</v>
      </c>
      <c r="F22" s="43"/>
      <c r="G22" s="43"/>
      <c r="H22" s="43"/>
      <c r="I22" s="43"/>
      <c r="J22" s="43"/>
      <c r="K22" s="43"/>
    </row>
    <row r="23" spans="1:11" ht="15" customHeight="1" x14ac:dyDescent="0.2">
      <c r="A23" s="440"/>
      <c r="B23" s="441"/>
      <c r="C23" s="449" t="s">
        <v>130</v>
      </c>
      <c r="D23" s="52" t="s">
        <v>117</v>
      </c>
      <c r="E23" s="95">
        <v>2169.85</v>
      </c>
      <c r="F23" s="43"/>
      <c r="G23" s="43"/>
      <c r="H23" s="43"/>
      <c r="I23" s="43"/>
      <c r="J23" s="43"/>
      <c r="K23" s="43"/>
    </row>
    <row r="24" spans="1:11" ht="15" customHeight="1" x14ac:dyDescent="0.2">
      <c r="A24" s="440"/>
      <c r="B24" s="441"/>
      <c r="C24" s="449"/>
      <c r="D24" s="52" t="s">
        <v>21</v>
      </c>
      <c r="E24" s="95">
        <v>32</v>
      </c>
      <c r="F24" s="43"/>
      <c r="G24" s="43"/>
      <c r="H24" s="43"/>
      <c r="I24" s="43"/>
      <c r="J24" s="43"/>
      <c r="K24" s="43"/>
    </row>
    <row r="25" spans="1:11" ht="15" customHeight="1" x14ac:dyDescent="0.2">
      <c r="A25" s="440"/>
      <c r="B25" s="441"/>
      <c r="C25" s="442" t="s">
        <v>9</v>
      </c>
      <c r="D25" s="442"/>
      <c r="E25" s="95">
        <v>74.349999999999909</v>
      </c>
      <c r="F25" s="43"/>
      <c r="G25" s="43"/>
      <c r="H25" s="43"/>
      <c r="I25" s="43"/>
      <c r="J25" s="43"/>
      <c r="K25" s="43"/>
    </row>
    <row r="26" spans="1:11" ht="15" customHeight="1" x14ac:dyDescent="0.2">
      <c r="A26" s="440"/>
      <c r="B26" s="443" t="s">
        <v>22</v>
      </c>
      <c r="C26" s="443"/>
      <c r="D26" s="443"/>
      <c r="E26" s="153">
        <v>352.57000000000033</v>
      </c>
      <c r="F26" s="43"/>
      <c r="G26" s="43"/>
      <c r="H26" s="43"/>
      <c r="I26" s="43"/>
      <c r="J26" s="43"/>
      <c r="K26" s="43"/>
    </row>
    <row r="27" spans="1:11" ht="15" customHeight="1" x14ac:dyDescent="0.2">
      <c r="A27" s="440"/>
      <c r="B27" s="441" t="s">
        <v>124</v>
      </c>
      <c r="C27" s="441" t="s">
        <v>15</v>
      </c>
      <c r="D27" s="441"/>
      <c r="E27" s="95">
        <v>810.62000000000012</v>
      </c>
      <c r="F27" s="43"/>
      <c r="G27" s="43"/>
      <c r="H27" s="43"/>
      <c r="I27" s="43"/>
      <c r="J27" s="43"/>
      <c r="K27" s="43"/>
    </row>
    <row r="28" spans="1:11" ht="15" customHeight="1" x14ac:dyDescent="0.2">
      <c r="A28" s="440"/>
      <c r="B28" s="441"/>
      <c r="C28" s="449" t="s">
        <v>187</v>
      </c>
      <c r="D28" s="449"/>
      <c r="E28" s="95">
        <v>467.18</v>
      </c>
      <c r="F28" s="43"/>
      <c r="G28" s="43"/>
      <c r="H28" s="43"/>
      <c r="I28" s="43"/>
      <c r="J28" s="43"/>
      <c r="K28" s="43"/>
    </row>
    <row r="29" spans="1:11" ht="15" customHeight="1" x14ac:dyDescent="0.2">
      <c r="A29" s="440"/>
      <c r="B29" s="441"/>
      <c r="C29" s="443" t="s">
        <v>9</v>
      </c>
      <c r="D29" s="443"/>
      <c r="E29" s="95">
        <v>343.44000000000011</v>
      </c>
      <c r="F29" s="43"/>
      <c r="G29" s="43"/>
      <c r="H29" s="43"/>
      <c r="I29" s="43"/>
      <c r="J29" s="43"/>
      <c r="K29" s="43"/>
    </row>
    <row r="30" spans="1:11" ht="15" customHeight="1" x14ac:dyDescent="0.2">
      <c r="A30" s="440"/>
      <c r="B30" s="443" t="s">
        <v>125</v>
      </c>
      <c r="C30" s="443"/>
      <c r="D30" s="443"/>
      <c r="E30" s="95">
        <v>304.90000000000003</v>
      </c>
      <c r="F30" s="43"/>
      <c r="G30" s="43"/>
      <c r="H30" s="43"/>
      <c r="I30" s="43"/>
      <c r="J30" s="43"/>
      <c r="K30" s="43"/>
    </row>
    <row r="31" spans="1:11" ht="15" customHeight="1" x14ac:dyDescent="0.2">
      <c r="A31" s="440"/>
      <c r="B31" s="443" t="s">
        <v>25</v>
      </c>
      <c r="C31" s="443"/>
      <c r="D31" s="443"/>
      <c r="E31" s="95">
        <v>143.38</v>
      </c>
      <c r="F31" s="43"/>
      <c r="G31" s="43"/>
      <c r="H31" s="43"/>
      <c r="I31" s="43"/>
      <c r="J31" s="43"/>
      <c r="K31" s="43"/>
    </row>
    <row r="32" spans="1:11" ht="15" customHeight="1" x14ac:dyDescent="0.2">
      <c r="A32" s="440"/>
      <c r="B32" s="441" t="s">
        <v>11</v>
      </c>
      <c r="C32" s="441" t="s">
        <v>15</v>
      </c>
      <c r="D32" s="441"/>
      <c r="E32" s="95">
        <v>148.21</v>
      </c>
      <c r="F32" s="43"/>
      <c r="G32" s="43"/>
      <c r="H32" s="43"/>
      <c r="I32" s="43"/>
      <c r="J32" s="43"/>
      <c r="K32" s="43"/>
    </row>
    <row r="33" spans="1:11" ht="15" customHeight="1" x14ac:dyDescent="0.2">
      <c r="A33" s="440"/>
      <c r="B33" s="441"/>
      <c r="C33" s="447" t="s">
        <v>58</v>
      </c>
      <c r="D33" s="448"/>
      <c r="E33" s="154">
        <v>148.21</v>
      </c>
      <c r="F33" s="43"/>
      <c r="G33" s="43"/>
      <c r="H33" s="43"/>
      <c r="I33" s="43"/>
      <c r="J33" s="43"/>
      <c r="K33" s="43"/>
    </row>
    <row r="34" spans="1:11" ht="15" customHeight="1" x14ac:dyDescent="0.2">
      <c r="A34" s="440"/>
      <c r="B34" s="441"/>
      <c r="C34" s="441" t="s">
        <v>11</v>
      </c>
      <c r="D34" s="44" t="s">
        <v>15</v>
      </c>
      <c r="E34" s="95">
        <v>0</v>
      </c>
      <c r="F34" s="43"/>
      <c r="G34" s="43"/>
      <c r="H34" s="43"/>
      <c r="I34" s="43"/>
      <c r="J34" s="43"/>
      <c r="K34" s="43"/>
    </row>
    <row r="35" spans="1:11" ht="15" customHeight="1" x14ac:dyDescent="0.2">
      <c r="A35" s="440"/>
      <c r="B35" s="441"/>
      <c r="C35" s="441"/>
      <c r="D35" s="48" t="s">
        <v>12</v>
      </c>
      <c r="E35" s="95">
        <v>0</v>
      </c>
      <c r="F35" s="43"/>
      <c r="G35" s="43"/>
      <c r="H35" s="43"/>
      <c r="I35" s="43"/>
      <c r="J35" s="43"/>
      <c r="K35" s="43"/>
    </row>
    <row r="36" spans="1:11" ht="15" customHeight="1" x14ac:dyDescent="0.2">
      <c r="A36" s="440"/>
      <c r="B36" s="441"/>
      <c r="C36" s="441"/>
      <c r="D36" s="52" t="s">
        <v>130</v>
      </c>
      <c r="E36" s="95">
        <v>0</v>
      </c>
      <c r="F36" s="43"/>
      <c r="G36" s="43"/>
      <c r="H36" s="43"/>
      <c r="I36" s="43"/>
      <c r="J36" s="43"/>
      <c r="K36" s="43"/>
    </row>
    <row r="37" spans="1:11" ht="15" customHeight="1" x14ac:dyDescent="0.2">
      <c r="A37" s="440"/>
      <c r="B37" s="441"/>
      <c r="C37" s="441"/>
      <c r="D37" s="49" t="s">
        <v>18</v>
      </c>
      <c r="E37" s="95">
        <v>-1.5923992384841452E-2</v>
      </c>
      <c r="F37" s="43"/>
      <c r="G37" s="43"/>
      <c r="H37" s="43"/>
      <c r="I37" s="113"/>
      <c r="J37" s="43"/>
      <c r="K37" s="43"/>
    </row>
    <row r="38" spans="1:11" ht="15" customHeight="1" x14ac:dyDescent="0.2">
      <c r="A38" s="440"/>
      <c r="B38" s="441"/>
      <c r="C38" s="443" t="s">
        <v>9</v>
      </c>
      <c r="D38" s="443"/>
      <c r="E38" s="95">
        <v>0</v>
      </c>
      <c r="F38" s="43"/>
      <c r="G38" s="43"/>
      <c r="H38" s="43"/>
      <c r="I38" s="113"/>
      <c r="J38" s="43"/>
      <c r="K38" s="43"/>
    </row>
  </sheetData>
  <mergeCells count="34">
    <mergeCell ref="B30:D30"/>
    <mergeCell ref="B31:D31"/>
    <mergeCell ref="B32:B38"/>
    <mergeCell ref="C32:D32"/>
    <mergeCell ref="C33:D33"/>
    <mergeCell ref="C34:C37"/>
    <mergeCell ref="C38:D38"/>
    <mergeCell ref="B22:B25"/>
    <mergeCell ref="C22:D22"/>
    <mergeCell ref="C23:C24"/>
    <mergeCell ref="C25:D25"/>
    <mergeCell ref="B26:D26"/>
    <mergeCell ref="B14:B21"/>
    <mergeCell ref="C14:D14"/>
    <mergeCell ref="C15:D15"/>
    <mergeCell ref="C16:D16"/>
    <mergeCell ref="C17:C20"/>
    <mergeCell ref="C21:D21"/>
    <mergeCell ref="A1:I1"/>
    <mergeCell ref="E4:F4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B27:B29"/>
    <mergeCell ref="C27:D27"/>
    <mergeCell ref="C28:D28"/>
    <mergeCell ref="C29:D29"/>
    <mergeCell ref="C13:D13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BC53-FE5E-4560-8E9E-5A66C1F38221}">
  <sheetPr codeName="Sheet10"/>
  <dimension ref="A1:I77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0.75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10.375" style="43" customWidth="1"/>
    <col min="8" max="8" width="8.125" style="43" customWidth="1"/>
    <col min="9" max="9" width="10.75" style="43" customWidth="1"/>
    <col min="10" max="10" width="8.75" style="43"/>
    <col min="11" max="11" width="11.375" style="43" customWidth="1"/>
    <col min="12" max="12" width="8" style="43" customWidth="1"/>
    <col min="13" max="16384" width="8.75" style="43"/>
  </cols>
  <sheetData>
    <row r="1" spans="1:9" ht="23.85" customHeight="1" x14ac:dyDescent="0.2">
      <c r="A1" s="439" t="s">
        <v>140</v>
      </c>
      <c r="B1" s="439"/>
      <c r="C1" s="439"/>
      <c r="D1" s="439"/>
      <c r="E1" s="439"/>
      <c r="F1" s="439"/>
      <c r="G1" s="407"/>
      <c r="H1" s="407"/>
      <c r="I1" s="407"/>
    </row>
    <row r="2" spans="1:9" ht="14.85" customHeight="1" thickBot="1" x14ac:dyDescent="0.25">
      <c r="A2" s="48" t="s">
        <v>5</v>
      </c>
      <c r="B2" s="101">
        <v>3162.8</v>
      </c>
      <c r="C2" s="49" t="s">
        <v>29</v>
      </c>
      <c r="D2" s="98">
        <v>3550.62</v>
      </c>
      <c r="E2" s="44" t="s">
        <v>61</v>
      </c>
      <c r="F2" s="116">
        <v>14541.97</v>
      </c>
      <c r="G2" s="433" t="s">
        <v>139</v>
      </c>
      <c r="H2" s="435">
        <f>F3/F2/30*365*100</f>
        <v>6.8547452649125251</v>
      </c>
      <c r="I2" s="437" t="s">
        <v>62</v>
      </c>
    </row>
    <row r="3" spans="1:9" ht="14.85" customHeight="1" x14ac:dyDescent="0.2">
      <c r="A3" s="176" t="s">
        <v>198</v>
      </c>
      <c r="B3" s="177">
        <v>281.95</v>
      </c>
      <c r="C3" s="178" t="s">
        <v>88</v>
      </c>
      <c r="D3" s="179">
        <v>1048.58</v>
      </c>
      <c r="E3" s="58" t="s">
        <v>56</v>
      </c>
      <c r="F3" s="115">
        <f>E39-E33</f>
        <v>81.929999999999978</v>
      </c>
      <c r="G3" s="434"/>
      <c r="H3" s="436"/>
      <c r="I3" s="438"/>
    </row>
    <row r="4" spans="1:9" ht="14.85" customHeight="1" x14ac:dyDescent="0.2">
      <c r="A4" s="180" t="s">
        <v>138</v>
      </c>
      <c r="B4" s="175">
        <v>374.26</v>
      </c>
      <c r="C4" s="174" t="s">
        <v>197</v>
      </c>
      <c r="D4" s="181">
        <v>245.1</v>
      </c>
      <c r="E4" s="441" t="s">
        <v>138</v>
      </c>
      <c r="F4" s="441"/>
      <c r="G4" s="114">
        <f>E9+E11+E12+E13+E26</f>
        <v>419.54000000000008</v>
      </c>
      <c r="H4" s="112" t="s">
        <v>49</v>
      </c>
      <c r="I4" s="114">
        <f>G4/30</f>
        <v>13.984666666666669</v>
      </c>
    </row>
    <row r="5" spans="1:9" ht="14.85" customHeight="1" thickBot="1" x14ac:dyDescent="0.25">
      <c r="A5" s="182" t="s">
        <v>131</v>
      </c>
      <c r="B5" s="183">
        <v>690.63</v>
      </c>
      <c r="C5" s="184" t="s">
        <v>196</v>
      </c>
      <c r="D5" s="185">
        <v>910.1</v>
      </c>
      <c r="E5" s="464" t="s">
        <v>131</v>
      </c>
      <c r="F5" s="464"/>
      <c r="G5" s="64">
        <f>B3-G4</f>
        <v>-137.59000000000009</v>
      </c>
      <c r="H5" s="7"/>
      <c r="I5" s="7" t="s">
        <v>251</v>
      </c>
    </row>
    <row r="6" spans="1:9" ht="14.85" customHeight="1" x14ac:dyDescent="0.2">
      <c r="A6" s="7"/>
      <c r="B6" s="7"/>
      <c r="C6" s="7"/>
      <c r="D6" s="69"/>
      <c r="E6" s="1"/>
      <c r="F6" s="1"/>
      <c r="G6" s="64"/>
      <c r="H6" s="7"/>
      <c r="I6" s="7"/>
    </row>
    <row r="7" spans="1:9" ht="14.85" customHeight="1" x14ac:dyDescent="0.2">
      <c r="A7" s="440" t="s">
        <v>14</v>
      </c>
      <c r="B7" s="441" t="s">
        <v>123</v>
      </c>
      <c r="C7" s="441" t="s">
        <v>15</v>
      </c>
      <c r="D7" s="441"/>
      <c r="E7" s="95">
        <v>314.05000000000007</v>
      </c>
    </row>
    <row r="8" spans="1:9" ht="14.85" customHeight="1" x14ac:dyDescent="0.2">
      <c r="A8" s="440"/>
      <c r="B8" s="441"/>
      <c r="C8" s="442" t="s">
        <v>63</v>
      </c>
      <c r="D8" s="442"/>
      <c r="E8" s="95">
        <v>48.7</v>
      </c>
    </row>
    <row r="9" spans="1:9" ht="14.85" customHeight="1" x14ac:dyDescent="0.2">
      <c r="A9" s="440"/>
      <c r="B9" s="441"/>
      <c r="C9" s="443" t="s">
        <v>9</v>
      </c>
      <c r="D9" s="443"/>
      <c r="E9" s="95">
        <v>265.35000000000008</v>
      </c>
    </row>
    <row r="10" spans="1:9" ht="14.85" customHeight="1" x14ac:dyDescent="0.2">
      <c r="A10" s="440"/>
      <c r="B10" s="444" t="s">
        <v>16</v>
      </c>
      <c r="C10" s="447" t="s">
        <v>15</v>
      </c>
      <c r="D10" s="448"/>
      <c r="E10" s="95">
        <v>375.04999999999995</v>
      </c>
    </row>
    <row r="11" spans="1:9" ht="14.85" customHeight="1" x14ac:dyDescent="0.2">
      <c r="A11" s="440"/>
      <c r="B11" s="445"/>
      <c r="C11" s="447" t="s">
        <v>53</v>
      </c>
      <c r="D11" s="448"/>
      <c r="E11" s="95">
        <v>0</v>
      </c>
      <c r="F11" s="43">
        <v>0</v>
      </c>
      <c r="G11" s="43" t="s">
        <v>84</v>
      </c>
    </row>
    <row r="12" spans="1:9" ht="14.85" customHeight="1" x14ac:dyDescent="0.2">
      <c r="A12" s="440"/>
      <c r="B12" s="445"/>
      <c r="C12" s="447" t="s">
        <v>51</v>
      </c>
      <c r="D12" s="448"/>
      <c r="E12" s="95">
        <v>0</v>
      </c>
    </row>
    <row r="13" spans="1:9" ht="14.85" customHeight="1" x14ac:dyDescent="0.2">
      <c r="A13" s="440"/>
      <c r="B13" s="446"/>
      <c r="C13" s="447" t="s">
        <v>52</v>
      </c>
      <c r="D13" s="448"/>
      <c r="E13" s="95">
        <v>43.870000000000005</v>
      </c>
      <c r="F13" s="95">
        <v>3.9600000000000004</v>
      </c>
      <c r="G13" s="43" t="s">
        <v>83</v>
      </c>
    </row>
    <row r="14" spans="1:9" ht="14.85" customHeight="1" x14ac:dyDescent="0.2">
      <c r="A14" s="440"/>
      <c r="B14" s="441" t="s">
        <v>10</v>
      </c>
      <c r="C14" s="441" t="s">
        <v>15</v>
      </c>
      <c r="D14" s="441"/>
      <c r="E14" s="95">
        <v>1091.27</v>
      </c>
    </row>
    <row r="15" spans="1:9" ht="14.85" customHeight="1" x14ac:dyDescent="0.2">
      <c r="A15" s="440"/>
      <c r="B15" s="441"/>
      <c r="C15" s="449" t="s">
        <v>17</v>
      </c>
      <c r="D15" s="449"/>
      <c r="E15" s="95">
        <v>32</v>
      </c>
    </row>
    <row r="16" spans="1:9" ht="14.85" customHeight="1" x14ac:dyDescent="0.2">
      <c r="A16" s="440"/>
      <c r="B16" s="441"/>
      <c r="C16" s="449" t="s">
        <v>4</v>
      </c>
      <c r="D16" s="449"/>
      <c r="E16" s="95">
        <v>7.42</v>
      </c>
    </row>
    <row r="17" spans="1:5" ht="14.85" customHeight="1" x14ac:dyDescent="0.2">
      <c r="A17" s="440"/>
      <c r="B17" s="441"/>
      <c r="C17" s="441" t="s">
        <v>11</v>
      </c>
      <c r="D17" s="44" t="s">
        <v>15</v>
      </c>
      <c r="E17" s="95">
        <v>529.00999999999988</v>
      </c>
    </row>
    <row r="18" spans="1:5" ht="14.85" customHeight="1" x14ac:dyDescent="0.2">
      <c r="A18" s="440"/>
      <c r="B18" s="441"/>
      <c r="C18" s="441"/>
      <c r="D18" s="49" t="s">
        <v>18</v>
      </c>
      <c r="E18" s="95">
        <v>40.299999999999997</v>
      </c>
    </row>
    <row r="19" spans="1:5" ht="14.85" customHeight="1" x14ac:dyDescent="0.2">
      <c r="A19" s="440"/>
      <c r="B19" s="441"/>
      <c r="C19" s="441"/>
      <c r="D19" s="52" t="s">
        <v>130</v>
      </c>
      <c r="E19" s="95">
        <v>208.35</v>
      </c>
    </row>
    <row r="20" spans="1:5" ht="14.85" customHeight="1" x14ac:dyDescent="0.2">
      <c r="A20" s="440"/>
      <c r="B20" s="441"/>
      <c r="C20" s="441"/>
      <c r="D20" s="48" t="s">
        <v>12</v>
      </c>
      <c r="E20" s="95">
        <v>280.3599999999999</v>
      </c>
    </row>
    <row r="21" spans="1:5" ht="14.85" customHeight="1" x14ac:dyDescent="0.2">
      <c r="A21" s="440"/>
      <c r="B21" s="441"/>
      <c r="C21" s="442" t="s">
        <v>9</v>
      </c>
      <c r="D21" s="442"/>
      <c r="E21" s="95">
        <f>E14-E15-E17-E16</f>
        <v>522.84000000000015</v>
      </c>
    </row>
    <row r="22" spans="1:5" ht="14.85" customHeight="1" x14ac:dyDescent="0.2">
      <c r="A22" s="440"/>
      <c r="B22" s="441" t="s">
        <v>19</v>
      </c>
      <c r="C22" s="441" t="s">
        <v>15</v>
      </c>
      <c r="D22" s="441"/>
      <c r="E22" s="95">
        <v>428.7</v>
      </c>
    </row>
    <row r="23" spans="1:5" ht="14.85" customHeight="1" x14ac:dyDescent="0.2">
      <c r="A23" s="440"/>
      <c r="B23" s="441"/>
      <c r="C23" s="449" t="s">
        <v>130</v>
      </c>
      <c r="D23" s="52" t="s">
        <v>117</v>
      </c>
      <c r="E23" s="95">
        <v>80.7</v>
      </c>
    </row>
    <row r="24" spans="1:5" ht="14.85" customHeight="1" x14ac:dyDescent="0.2">
      <c r="A24" s="440"/>
      <c r="B24" s="441"/>
      <c r="C24" s="449"/>
      <c r="D24" s="52" t="s">
        <v>21</v>
      </c>
      <c r="E24" s="95">
        <v>0</v>
      </c>
    </row>
    <row r="25" spans="1:5" ht="14.85" customHeight="1" x14ac:dyDescent="0.2">
      <c r="A25" s="440"/>
      <c r="B25" s="441"/>
      <c r="C25" s="442" t="s">
        <v>9</v>
      </c>
      <c r="D25" s="442"/>
      <c r="E25" s="95">
        <v>348</v>
      </c>
    </row>
    <row r="26" spans="1:5" ht="14.85" customHeight="1" x14ac:dyDescent="0.2">
      <c r="A26" s="440"/>
      <c r="B26" s="443" t="s">
        <v>22</v>
      </c>
      <c r="C26" s="443"/>
      <c r="D26" s="443"/>
      <c r="E26" s="95">
        <v>110.32</v>
      </c>
    </row>
    <row r="27" spans="1:5" ht="14.85" customHeight="1" x14ac:dyDescent="0.2">
      <c r="A27" s="440"/>
      <c r="B27" s="441" t="s">
        <v>124</v>
      </c>
      <c r="C27" s="441" t="s">
        <v>15</v>
      </c>
      <c r="D27" s="441"/>
      <c r="E27" s="95">
        <v>10.199999999999999</v>
      </c>
    </row>
    <row r="28" spans="1:5" ht="14.85" customHeight="1" x14ac:dyDescent="0.2">
      <c r="A28" s="440"/>
      <c r="B28" s="441"/>
      <c r="C28" s="449" t="s">
        <v>2</v>
      </c>
      <c r="D28" s="449"/>
      <c r="E28" s="95">
        <v>0</v>
      </c>
    </row>
    <row r="29" spans="1:5" ht="14.85" customHeight="1" x14ac:dyDescent="0.2">
      <c r="A29" s="440"/>
      <c r="B29" s="441"/>
      <c r="C29" s="443" t="s">
        <v>9</v>
      </c>
      <c r="D29" s="443"/>
      <c r="E29" s="95">
        <v>10.199999999999999</v>
      </c>
    </row>
    <row r="30" spans="1:5" ht="14.85" customHeight="1" x14ac:dyDescent="0.2">
      <c r="A30" s="440"/>
      <c r="B30" s="443" t="s">
        <v>125</v>
      </c>
      <c r="C30" s="443"/>
      <c r="D30" s="443"/>
      <c r="E30" s="95">
        <v>416.2</v>
      </c>
    </row>
    <row r="31" spans="1:5" ht="14.85" customHeight="1" x14ac:dyDescent="0.2">
      <c r="A31" s="440"/>
      <c r="B31" s="443" t="s">
        <v>25</v>
      </c>
      <c r="C31" s="443"/>
      <c r="D31" s="443"/>
      <c r="E31" s="95">
        <v>10.83</v>
      </c>
    </row>
    <row r="32" spans="1:5" ht="14.85" customHeight="1" x14ac:dyDescent="0.2">
      <c r="A32" s="440"/>
      <c r="B32" s="441" t="s">
        <v>11</v>
      </c>
      <c r="C32" s="441" t="s">
        <v>15</v>
      </c>
      <c r="D32" s="441"/>
      <c r="E32" s="95">
        <v>61.96</v>
      </c>
    </row>
    <row r="33" spans="1:9" ht="14.85" customHeight="1" x14ac:dyDescent="0.2">
      <c r="A33" s="440"/>
      <c r="B33" s="441"/>
      <c r="C33" s="447" t="s">
        <v>58</v>
      </c>
      <c r="D33" s="448"/>
      <c r="E33" s="95">
        <v>23.46</v>
      </c>
      <c r="F33" s="43">
        <v>-2.31</v>
      </c>
    </row>
    <row r="34" spans="1:9" ht="14.85" customHeight="1" x14ac:dyDescent="0.2">
      <c r="A34" s="440"/>
      <c r="B34" s="441"/>
      <c r="C34" s="441" t="s">
        <v>11</v>
      </c>
      <c r="D34" s="44" t="s">
        <v>15</v>
      </c>
      <c r="E34" s="95">
        <v>0</v>
      </c>
    </row>
    <row r="35" spans="1:9" ht="14.85" customHeight="1" x14ac:dyDescent="0.2">
      <c r="A35" s="440"/>
      <c r="B35" s="441"/>
      <c r="C35" s="441"/>
      <c r="D35" s="48" t="s">
        <v>12</v>
      </c>
      <c r="E35" s="95">
        <v>0</v>
      </c>
    </row>
    <row r="36" spans="1:9" ht="14.85" customHeight="1" x14ac:dyDescent="0.2">
      <c r="A36" s="440"/>
      <c r="B36" s="441"/>
      <c r="C36" s="441"/>
      <c r="D36" s="52" t="s">
        <v>130</v>
      </c>
      <c r="E36" s="95">
        <v>0</v>
      </c>
    </row>
    <row r="37" spans="1:9" ht="14.85" customHeight="1" x14ac:dyDescent="0.2">
      <c r="A37" s="440"/>
      <c r="B37" s="441"/>
      <c r="C37" s="441"/>
      <c r="D37" s="49" t="s">
        <v>18</v>
      </c>
      <c r="E37" s="95">
        <v>-1.5923992384841452E-2</v>
      </c>
      <c r="F37" s="43" t="s">
        <v>137</v>
      </c>
      <c r="G37" s="43">
        <v>6112.37</v>
      </c>
      <c r="H37" s="43" t="s">
        <v>136</v>
      </c>
      <c r="I37" s="113">
        <f>8/G37/30*365</f>
        <v>1.5923992384841452E-2</v>
      </c>
    </row>
    <row r="38" spans="1:9" ht="14.85" customHeight="1" x14ac:dyDescent="0.2">
      <c r="A38" s="440"/>
      <c r="B38" s="441"/>
      <c r="C38" s="443" t="s">
        <v>9</v>
      </c>
      <c r="D38" s="443"/>
      <c r="E38" s="95">
        <v>37.935633399462084</v>
      </c>
      <c r="F38" s="43" t="s">
        <v>105</v>
      </c>
      <c r="G38" s="43">
        <v>8841.34</v>
      </c>
      <c r="H38" s="43" t="s">
        <v>135</v>
      </c>
      <c r="I38" s="113">
        <f>G39/G38/30*365</f>
        <v>1.436660053792751E-2</v>
      </c>
    </row>
    <row r="39" spans="1:9" ht="14.85" customHeight="1" x14ac:dyDescent="0.2">
      <c r="A39" s="47" t="s">
        <v>59</v>
      </c>
      <c r="B39" s="441" t="s">
        <v>60</v>
      </c>
      <c r="C39" s="441"/>
      <c r="D39" s="441"/>
      <c r="E39" s="95">
        <v>105.38999999999999</v>
      </c>
      <c r="F39" s="43">
        <v>31.39</v>
      </c>
      <c r="G39" s="43">
        <v>10.44</v>
      </c>
      <c r="I39" s="113"/>
    </row>
    <row r="40" spans="1:9" ht="14.85" customHeight="1" x14ac:dyDescent="0.2">
      <c r="A40" s="54"/>
    </row>
    <row r="41" spans="1:9" ht="14.85" customHeight="1" x14ac:dyDescent="0.2">
      <c r="A41" s="59" t="s">
        <v>71</v>
      </c>
      <c r="B41" s="93"/>
      <c r="C41" s="59" t="s">
        <v>68</v>
      </c>
      <c r="D41" s="59"/>
      <c r="E41" s="55">
        <f>SUM(E42:E76)</f>
        <v>0</v>
      </c>
      <c r="F41" s="59" t="s">
        <v>107</v>
      </c>
      <c r="G41" s="43" t="s">
        <v>73</v>
      </c>
      <c r="H41" s="43" t="s">
        <v>108</v>
      </c>
    </row>
    <row r="42" spans="1:9" ht="14.85" customHeight="1" x14ac:dyDescent="0.2">
      <c r="A42" s="450" t="s">
        <v>70</v>
      </c>
      <c r="B42" s="451" t="s">
        <v>13</v>
      </c>
      <c r="C42" s="451" t="s">
        <v>15</v>
      </c>
      <c r="D42" s="451"/>
      <c r="E42" s="94">
        <f t="shared" ref="E42:E77" si="0">F42+G42/2</f>
        <v>0</v>
      </c>
      <c r="F42" s="94"/>
      <c r="G42" s="95"/>
      <c r="H42" s="95" t="e">
        <f t="shared" ref="H42:H77" si="1">E42/$B$41</f>
        <v>#DIV/0!</v>
      </c>
    </row>
    <row r="43" spans="1:9" ht="14.85" customHeight="1" x14ac:dyDescent="0.2">
      <c r="A43" s="450"/>
      <c r="B43" s="451"/>
      <c r="C43" s="452" t="s">
        <v>63</v>
      </c>
      <c r="D43" s="452"/>
      <c r="E43" s="94">
        <f t="shared" si="0"/>
        <v>0</v>
      </c>
      <c r="F43" s="94"/>
      <c r="G43" s="95"/>
      <c r="H43" s="95" t="e">
        <f t="shared" si="1"/>
        <v>#DIV/0!</v>
      </c>
    </row>
    <row r="44" spans="1:9" ht="14.85" customHeight="1" x14ac:dyDescent="0.2">
      <c r="A44" s="450"/>
      <c r="B44" s="451"/>
      <c r="C44" s="453" t="s">
        <v>9</v>
      </c>
      <c r="D44" s="453"/>
      <c r="E44" s="94">
        <f t="shared" si="0"/>
        <v>0</v>
      </c>
      <c r="F44" s="94"/>
      <c r="G44" s="95"/>
      <c r="H44" s="95" t="e">
        <f t="shared" si="1"/>
        <v>#DIV/0!</v>
      </c>
    </row>
    <row r="45" spans="1:9" ht="14.85" customHeight="1" x14ac:dyDescent="0.2">
      <c r="A45" s="450"/>
      <c r="B45" s="454" t="s">
        <v>16</v>
      </c>
      <c r="C45" s="457" t="s">
        <v>78</v>
      </c>
      <c r="D45" s="458"/>
      <c r="E45" s="94">
        <f t="shared" si="0"/>
        <v>0</v>
      </c>
      <c r="F45" s="94"/>
      <c r="G45" s="95"/>
      <c r="H45" s="95" t="e">
        <f t="shared" si="1"/>
        <v>#DIV/0!</v>
      </c>
    </row>
    <row r="46" spans="1:9" ht="14.85" hidden="1" customHeight="1" x14ac:dyDescent="0.2">
      <c r="A46" s="450"/>
      <c r="B46" s="455"/>
      <c r="C46" s="457" t="s">
        <v>53</v>
      </c>
      <c r="D46" s="458"/>
      <c r="E46" s="94">
        <f t="shared" si="0"/>
        <v>0</v>
      </c>
      <c r="F46" s="94"/>
      <c r="G46" s="95"/>
      <c r="H46" s="95" t="e">
        <f t="shared" si="1"/>
        <v>#DIV/0!</v>
      </c>
    </row>
    <row r="47" spans="1:9" ht="14.85" hidden="1" customHeight="1" x14ac:dyDescent="0.2">
      <c r="A47" s="450"/>
      <c r="B47" s="455"/>
      <c r="C47" s="457" t="s">
        <v>51</v>
      </c>
      <c r="D47" s="458"/>
      <c r="E47" s="94">
        <f t="shared" si="0"/>
        <v>0</v>
      </c>
      <c r="F47" s="94"/>
      <c r="G47" s="95"/>
      <c r="H47" s="95" t="e">
        <f t="shared" si="1"/>
        <v>#DIV/0!</v>
      </c>
    </row>
    <row r="48" spans="1:9" ht="14.85" customHeight="1" x14ac:dyDescent="0.2">
      <c r="A48" s="450"/>
      <c r="B48" s="456"/>
      <c r="C48" s="457" t="s">
        <v>52</v>
      </c>
      <c r="D48" s="458"/>
      <c r="E48" s="94">
        <f t="shared" si="0"/>
        <v>0</v>
      </c>
      <c r="F48" s="94"/>
      <c r="G48" s="95"/>
      <c r="H48" s="95" t="e">
        <f t="shared" si="1"/>
        <v>#DIV/0!</v>
      </c>
    </row>
    <row r="49" spans="1:8" ht="14.85" customHeight="1" x14ac:dyDescent="0.2">
      <c r="A49" s="450"/>
      <c r="B49" s="451" t="s">
        <v>10</v>
      </c>
      <c r="C49" s="451" t="s">
        <v>15</v>
      </c>
      <c r="D49" s="451"/>
      <c r="E49" s="94">
        <f t="shared" si="0"/>
        <v>0</v>
      </c>
      <c r="F49" s="94"/>
      <c r="G49" s="95"/>
      <c r="H49" s="95" t="e">
        <f t="shared" si="1"/>
        <v>#DIV/0!</v>
      </c>
    </row>
    <row r="50" spans="1:8" ht="14.85" customHeight="1" x14ac:dyDescent="0.2">
      <c r="A50" s="450"/>
      <c r="B50" s="451"/>
      <c r="C50" s="459" t="s">
        <v>17</v>
      </c>
      <c r="D50" s="459"/>
      <c r="E50" s="94">
        <f t="shared" si="0"/>
        <v>0</v>
      </c>
      <c r="F50" s="94"/>
      <c r="G50" s="95"/>
      <c r="H50" s="95" t="e">
        <f t="shared" si="1"/>
        <v>#DIV/0!</v>
      </c>
    </row>
    <row r="51" spans="1:8" ht="14.85" customHeight="1" x14ac:dyDescent="0.2">
      <c r="A51" s="450"/>
      <c r="B51" s="451"/>
      <c r="C51" s="459" t="s">
        <v>4</v>
      </c>
      <c r="D51" s="459"/>
      <c r="E51" s="94">
        <f t="shared" si="0"/>
        <v>0</v>
      </c>
      <c r="F51" s="94"/>
      <c r="G51" s="95"/>
      <c r="H51" s="95" t="e">
        <f t="shared" si="1"/>
        <v>#DIV/0!</v>
      </c>
    </row>
    <row r="52" spans="1:8" ht="14.85" customHeight="1" x14ac:dyDescent="0.2">
      <c r="A52" s="450"/>
      <c r="B52" s="451"/>
      <c r="C52" s="451" t="s">
        <v>11</v>
      </c>
      <c r="D52" s="53" t="s">
        <v>15</v>
      </c>
      <c r="E52" s="94">
        <f t="shared" si="0"/>
        <v>0</v>
      </c>
      <c r="F52" s="94"/>
      <c r="G52" s="95"/>
      <c r="H52" s="95" t="e">
        <f t="shared" si="1"/>
        <v>#DIV/0!</v>
      </c>
    </row>
    <row r="53" spans="1:8" ht="14.85" customHeight="1" x14ac:dyDescent="0.2">
      <c r="A53" s="450"/>
      <c r="B53" s="451"/>
      <c r="C53" s="451"/>
      <c r="D53" s="62" t="s">
        <v>18</v>
      </c>
      <c r="E53" s="94">
        <f t="shared" si="0"/>
        <v>0</v>
      </c>
      <c r="F53" s="94"/>
      <c r="G53" s="95"/>
      <c r="H53" s="95" t="e">
        <f t="shared" si="1"/>
        <v>#DIV/0!</v>
      </c>
    </row>
    <row r="54" spans="1:8" ht="14.85" customHeight="1" x14ac:dyDescent="0.2">
      <c r="A54" s="450"/>
      <c r="B54" s="451"/>
      <c r="C54" s="451"/>
      <c r="D54" s="63" t="s">
        <v>3</v>
      </c>
      <c r="E54" s="94">
        <f t="shared" si="0"/>
        <v>0</v>
      </c>
      <c r="F54" s="94"/>
      <c r="G54" s="95"/>
      <c r="H54" s="95" t="e">
        <f t="shared" si="1"/>
        <v>#DIV/0!</v>
      </c>
    </row>
    <row r="55" spans="1:8" ht="14.85" customHeight="1" x14ac:dyDescent="0.2">
      <c r="A55" s="450"/>
      <c r="B55" s="451"/>
      <c r="C55" s="451"/>
      <c r="D55" s="61" t="s">
        <v>12</v>
      </c>
      <c r="E55" s="94">
        <f t="shared" si="0"/>
        <v>0</v>
      </c>
      <c r="F55" s="94"/>
      <c r="G55" s="95"/>
      <c r="H55" s="95" t="e">
        <f t="shared" si="1"/>
        <v>#DIV/0!</v>
      </c>
    </row>
    <row r="56" spans="1:8" ht="14.85" customHeight="1" x14ac:dyDescent="0.2">
      <c r="A56" s="450"/>
      <c r="B56" s="451"/>
      <c r="C56" s="452" t="s">
        <v>9</v>
      </c>
      <c r="D56" s="452"/>
      <c r="E56" s="94">
        <f t="shared" si="0"/>
        <v>0</v>
      </c>
      <c r="F56" s="94"/>
      <c r="G56" s="95"/>
      <c r="H56" s="95" t="e">
        <f t="shared" si="1"/>
        <v>#DIV/0!</v>
      </c>
    </row>
    <row r="57" spans="1:8" ht="14.85" customHeight="1" x14ac:dyDescent="0.2">
      <c r="A57" s="450"/>
      <c r="B57" s="451" t="s">
        <v>19</v>
      </c>
      <c r="C57" s="451" t="s">
        <v>80</v>
      </c>
      <c r="D57" s="451"/>
      <c r="E57" s="94">
        <f t="shared" si="0"/>
        <v>0</v>
      </c>
      <c r="F57" s="94"/>
      <c r="G57" s="95"/>
      <c r="H57" s="95" t="e">
        <f t="shared" si="1"/>
        <v>#DIV/0!</v>
      </c>
    </row>
    <row r="58" spans="1:8" ht="14.85" customHeight="1" x14ac:dyDescent="0.2">
      <c r="A58" s="450"/>
      <c r="B58" s="451"/>
      <c r="C58" s="459" t="s">
        <v>3</v>
      </c>
      <c r="D58" s="63" t="s">
        <v>20</v>
      </c>
      <c r="E58" s="94">
        <f t="shared" si="0"/>
        <v>0</v>
      </c>
      <c r="F58" s="94"/>
      <c r="G58" s="95"/>
      <c r="H58" s="95" t="e">
        <f t="shared" si="1"/>
        <v>#DIV/0!</v>
      </c>
    </row>
    <row r="59" spans="1:8" ht="14.85" hidden="1" customHeight="1" x14ac:dyDescent="0.2">
      <c r="A59" s="450"/>
      <c r="B59" s="451"/>
      <c r="C59" s="459"/>
      <c r="D59" s="63" t="s">
        <v>21</v>
      </c>
      <c r="E59" s="94">
        <f t="shared" si="0"/>
        <v>0</v>
      </c>
      <c r="F59" s="94"/>
      <c r="G59" s="95"/>
      <c r="H59" s="95" t="e">
        <f t="shared" si="1"/>
        <v>#DIV/0!</v>
      </c>
    </row>
    <row r="60" spans="1:8" ht="14.85" customHeight="1" x14ac:dyDescent="0.2">
      <c r="A60" s="450"/>
      <c r="B60" s="451"/>
      <c r="C60" s="452" t="s">
        <v>9</v>
      </c>
      <c r="D60" s="452"/>
      <c r="E60" s="94">
        <f t="shared" si="0"/>
        <v>0</v>
      </c>
      <c r="F60" s="94"/>
      <c r="G60" s="95"/>
      <c r="H60" s="95" t="e">
        <f t="shared" si="1"/>
        <v>#DIV/0!</v>
      </c>
    </row>
    <row r="61" spans="1:8" ht="14.85" customHeight="1" x14ac:dyDescent="0.2">
      <c r="A61" s="450"/>
      <c r="B61" s="454" t="s">
        <v>22</v>
      </c>
      <c r="C61" s="454" t="s">
        <v>76</v>
      </c>
      <c r="D61" s="62" t="s">
        <v>74</v>
      </c>
      <c r="E61" s="94">
        <f t="shared" si="0"/>
        <v>0</v>
      </c>
      <c r="F61" s="94"/>
      <c r="G61" s="95"/>
      <c r="H61" s="95" t="e">
        <f t="shared" si="1"/>
        <v>#DIV/0!</v>
      </c>
    </row>
    <row r="62" spans="1:8" ht="14.85" customHeight="1" x14ac:dyDescent="0.2">
      <c r="A62" s="450"/>
      <c r="B62" s="455"/>
      <c r="C62" s="456"/>
      <c r="D62" s="62" t="s">
        <v>75</v>
      </c>
      <c r="E62" s="94">
        <f t="shared" si="0"/>
        <v>0</v>
      </c>
      <c r="F62" s="94"/>
      <c r="G62" s="95"/>
      <c r="H62" s="95" t="e">
        <f t="shared" si="1"/>
        <v>#DIV/0!</v>
      </c>
    </row>
    <row r="63" spans="1:8" ht="14.85" customHeight="1" x14ac:dyDescent="0.2">
      <c r="A63" s="450"/>
      <c r="B63" s="456"/>
      <c r="C63" s="460" t="s">
        <v>77</v>
      </c>
      <c r="D63" s="461"/>
      <c r="E63" s="94">
        <f t="shared" si="0"/>
        <v>0</v>
      </c>
      <c r="F63" s="94"/>
      <c r="G63" s="95"/>
      <c r="H63" s="95" t="e">
        <f t="shared" si="1"/>
        <v>#DIV/0!</v>
      </c>
    </row>
    <row r="64" spans="1:8" ht="14.85" hidden="1" customHeight="1" x14ac:dyDescent="0.2">
      <c r="A64" s="450"/>
      <c r="B64" s="62"/>
      <c r="C64" s="462"/>
      <c r="D64" s="463"/>
      <c r="E64" s="94">
        <f t="shared" si="0"/>
        <v>0</v>
      </c>
      <c r="F64" s="94"/>
      <c r="G64" s="95"/>
      <c r="H64" s="95" t="e">
        <f t="shared" si="1"/>
        <v>#DIV/0!</v>
      </c>
    </row>
    <row r="65" spans="1:8" ht="14.85" hidden="1" customHeight="1" x14ac:dyDescent="0.2">
      <c r="A65" s="450"/>
      <c r="B65" s="451" t="s">
        <v>23</v>
      </c>
      <c r="C65" s="451" t="s">
        <v>15</v>
      </c>
      <c r="D65" s="451"/>
      <c r="E65" s="94">
        <f t="shared" si="0"/>
        <v>0</v>
      </c>
      <c r="F65" s="94"/>
      <c r="G65" s="95"/>
      <c r="H65" s="95" t="e">
        <f t="shared" si="1"/>
        <v>#DIV/0!</v>
      </c>
    </row>
    <row r="66" spans="1:8" ht="14.85" hidden="1" customHeight="1" x14ac:dyDescent="0.2">
      <c r="A66" s="450"/>
      <c r="B66" s="451"/>
      <c r="C66" s="459" t="s">
        <v>2</v>
      </c>
      <c r="D66" s="459"/>
      <c r="E66" s="94">
        <f t="shared" si="0"/>
        <v>0</v>
      </c>
      <c r="F66" s="94"/>
      <c r="G66" s="95"/>
      <c r="H66" s="95" t="e">
        <f t="shared" si="1"/>
        <v>#DIV/0!</v>
      </c>
    </row>
    <row r="67" spans="1:8" ht="14.85" hidden="1" customHeight="1" x14ac:dyDescent="0.2">
      <c r="A67" s="450"/>
      <c r="B67" s="451"/>
      <c r="C67" s="453" t="s">
        <v>9</v>
      </c>
      <c r="D67" s="453"/>
      <c r="E67" s="94">
        <f t="shared" si="0"/>
        <v>0</v>
      </c>
      <c r="F67" s="94"/>
      <c r="G67" s="95"/>
      <c r="H67" s="95" t="e">
        <f t="shared" si="1"/>
        <v>#DIV/0!</v>
      </c>
    </row>
    <row r="68" spans="1:8" ht="14.85" customHeight="1" x14ac:dyDescent="0.2">
      <c r="A68" s="450"/>
      <c r="B68" s="453" t="s">
        <v>24</v>
      </c>
      <c r="C68" s="453"/>
      <c r="D68" s="453"/>
      <c r="E68" s="94">
        <f t="shared" si="0"/>
        <v>0</v>
      </c>
      <c r="F68" s="94"/>
      <c r="G68" s="95"/>
      <c r="H68" s="95" t="e">
        <f t="shared" si="1"/>
        <v>#DIV/0!</v>
      </c>
    </row>
    <row r="69" spans="1:8" ht="14.85" customHeight="1" x14ac:dyDescent="0.2">
      <c r="A69" s="450"/>
      <c r="B69" s="453" t="s">
        <v>25</v>
      </c>
      <c r="C69" s="453"/>
      <c r="D69" s="453"/>
      <c r="E69" s="94">
        <f t="shared" si="0"/>
        <v>0</v>
      </c>
      <c r="F69" s="94"/>
      <c r="G69" s="95"/>
      <c r="H69" s="95" t="e">
        <f t="shared" si="1"/>
        <v>#DIV/0!</v>
      </c>
    </row>
    <row r="70" spans="1:8" ht="14.85" customHeight="1" x14ac:dyDescent="0.2">
      <c r="A70" s="450"/>
      <c r="B70" s="451" t="s">
        <v>11</v>
      </c>
      <c r="C70" s="451" t="s">
        <v>79</v>
      </c>
      <c r="D70" s="451"/>
      <c r="E70" s="94">
        <f t="shared" si="0"/>
        <v>0</v>
      </c>
      <c r="F70" s="94"/>
      <c r="G70" s="95"/>
      <c r="H70" s="95" t="e">
        <f t="shared" si="1"/>
        <v>#DIV/0!</v>
      </c>
    </row>
    <row r="71" spans="1:8" ht="14.85" customHeight="1" x14ac:dyDescent="0.2">
      <c r="A71" s="450"/>
      <c r="B71" s="451"/>
      <c r="C71" s="457" t="s">
        <v>81</v>
      </c>
      <c r="D71" s="458"/>
      <c r="E71" s="94">
        <f t="shared" si="0"/>
        <v>0</v>
      </c>
      <c r="F71" s="94"/>
      <c r="G71" s="95"/>
      <c r="H71" s="95" t="e">
        <f t="shared" si="1"/>
        <v>#DIV/0!</v>
      </c>
    </row>
    <row r="72" spans="1:8" ht="14.85" customHeight="1" x14ac:dyDescent="0.2">
      <c r="A72" s="450"/>
      <c r="B72" s="451"/>
      <c r="C72" s="451" t="s">
        <v>11</v>
      </c>
      <c r="D72" s="53" t="s">
        <v>15</v>
      </c>
      <c r="E72" s="94">
        <f t="shared" si="0"/>
        <v>0</v>
      </c>
      <c r="F72" s="94"/>
      <c r="G72" s="95"/>
      <c r="H72" s="95" t="e">
        <f t="shared" si="1"/>
        <v>#DIV/0!</v>
      </c>
    </row>
    <row r="73" spans="1:8" ht="14.85" customHeight="1" x14ac:dyDescent="0.2">
      <c r="A73" s="450"/>
      <c r="B73" s="451"/>
      <c r="C73" s="451"/>
      <c r="D73" s="61" t="s">
        <v>12</v>
      </c>
      <c r="E73" s="94">
        <f t="shared" si="0"/>
        <v>0</v>
      </c>
      <c r="F73" s="94"/>
      <c r="G73" s="95"/>
      <c r="H73" s="95" t="e">
        <f t="shared" si="1"/>
        <v>#DIV/0!</v>
      </c>
    </row>
    <row r="74" spans="1:8" ht="14.85" customHeight="1" x14ac:dyDescent="0.2">
      <c r="A74" s="450"/>
      <c r="B74" s="451"/>
      <c r="C74" s="451"/>
      <c r="D74" s="63" t="s">
        <v>3</v>
      </c>
      <c r="E74" s="94">
        <f t="shared" si="0"/>
        <v>0</v>
      </c>
      <c r="F74" s="94"/>
      <c r="G74" s="95"/>
      <c r="H74" s="95" t="e">
        <f t="shared" si="1"/>
        <v>#DIV/0!</v>
      </c>
    </row>
    <row r="75" spans="1:8" ht="14.85" customHeight="1" x14ac:dyDescent="0.2">
      <c r="A75" s="450"/>
      <c r="B75" s="451"/>
      <c r="C75" s="451"/>
      <c r="D75" s="62" t="s">
        <v>18</v>
      </c>
      <c r="E75" s="94">
        <f t="shared" si="0"/>
        <v>0</v>
      </c>
      <c r="F75" s="94"/>
      <c r="G75" s="95"/>
      <c r="H75" s="95" t="e">
        <f t="shared" si="1"/>
        <v>#DIV/0!</v>
      </c>
    </row>
    <row r="76" spans="1:8" ht="14.85" customHeight="1" x14ac:dyDescent="0.2">
      <c r="A76" s="450"/>
      <c r="B76" s="451"/>
      <c r="C76" s="453" t="s">
        <v>9</v>
      </c>
      <c r="D76" s="453"/>
      <c r="E76" s="94">
        <f t="shared" si="0"/>
        <v>0</v>
      </c>
      <c r="F76" s="94"/>
      <c r="G76" s="95"/>
      <c r="H76" s="95" t="e">
        <f t="shared" si="1"/>
        <v>#DIV/0!</v>
      </c>
    </row>
    <row r="77" spans="1:8" ht="14.85" customHeight="1" x14ac:dyDescent="0.2">
      <c r="A77" s="60" t="s">
        <v>59</v>
      </c>
      <c r="B77" s="451" t="s">
        <v>72</v>
      </c>
      <c r="C77" s="451"/>
      <c r="D77" s="451"/>
      <c r="E77" s="94">
        <f t="shared" si="0"/>
        <v>0</v>
      </c>
      <c r="F77" s="94"/>
      <c r="G77" s="95"/>
      <c r="H77" s="95" t="e">
        <f t="shared" si="1"/>
        <v>#DIV/0!</v>
      </c>
    </row>
  </sheetData>
  <mergeCells count="74">
    <mergeCell ref="B77:D77"/>
    <mergeCell ref="B65:B67"/>
    <mergeCell ref="C65:D65"/>
    <mergeCell ref="C66:D66"/>
    <mergeCell ref="C67:D67"/>
    <mergeCell ref="B68:D68"/>
    <mergeCell ref="B69:D69"/>
    <mergeCell ref="B57:B60"/>
    <mergeCell ref="C57:D57"/>
    <mergeCell ref="C58:C59"/>
    <mergeCell ref="C60:D60"/>
    <mergeCell ref="B61:B63"/>
    <mergeCell ref="C61:C62"/>
    <mergeCell ref="C63:D64"/>
    <mergeCell ref="B39:D39"/>
    <mergeCell ref="A42:A76"/>
    <mergeCell ref="B42:B44"/>
    <mergeCell ref="C42:D42"/>
    <mergeCell ref="C43:D43"/>
    <mergeCell ref="C44:D44"/>
    <mergeCell ref="B45:B48"/>
    <mergeCell ref="C45:D45"/>
    <mergeCell ref="C46:D46"/>
    <mergeCell ref="C47:D47"/>
    <mergeCell ref="B70:B76"/>
    <mergeCell ref="C70:D70"/>
    <mergeCell ref="C71:D71"/>
    <mergeCell ref="C72:C75"/>
    <mergeCell ref="C76:D76"/>
    <mergeCell ref="C56:D56"/>
    <mergeCell ref="C48:D48"/>
    <mergeCell ref="B49:B56"/>
    <mergeCell ref="C49:D49"/>
    <mergeCell ref="C50:D50"/>
    <mergeCell ref="C51:D51"/>
    <mergeCell ref="C52:C55"/>
    <mergeCell ref="B30:D30"/>
    <mergeCell ref="B31:D31"/>
    <mergeCell ref="B32:B38"/>
    <mergeCell ref="C32:D32"/>
    <mergeCell ref="C33:D33"/>
    <mergeCell ref="C34:C37"/>
    <mergeCell ref="C38:D38"/>
    <mergeCell ref="E5:F5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B22:B25"/>
    <mergeCell ref="C22:D22"/>
    <mergeCell ref="C23:C24"/>
    <mergeCell ref="C25:D25"/>
    <mergeCell ref="B26:D26"/>
    <mergeCell ref="C14:D14"/>
    <mergeCell ref="B27:B29"/>
    <mergeCell ref="C27:D27"/>
    <mergeCell ref="C28:D28"/>
    <mergeCell ref="C29:D29"/>
    <mergeCell ref="C13:D13"/>
    <mergeCell ref="B14:B21"/>
    <mergeCell ref="C15:D15"/>
    <mergeCell ref="C16:D16"/>
    <mergeCell ref="C17:C20"/>
    <mergeCell ref="C21:D21"/>
    <mergeCell ref="A1:I1"/>
    <mergeCell ref="E4:F4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AEAC-F788-4A17-B89B-B3143F4B418C}">
  <sheetPr codeName="Sheet11"/>
  <dimension ref="A1:J77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0.75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8.125" style="43" customWidth="1"/>
    <col min="8" max="8" width="11.125" style="43" customWidth="1"/>
    <col min="9" max="9" width="10.75" style="43" customWidth="1"/>
    <col min="10" max="10" width="4.25" style="43" hidden="1" customWidth="1"/>
    <col min="11" max="11" width="8.75" style="43"/>
    <col min="12" max="12" width="11.375" style="43" customWidth="1"/>
    <col min="13" max="13" width="8.125" style="43" customWidth="1"/>
    <col min="14" max="16384" width="8.75" style="43"/>
  </cols>
  <sheetData>
    <row r="1" spans="1:10" ht="23.85" customHeight="1" x14ac:dyDescent="0.2">
      <c r="A1" s="439" t="s">
        <v>85</v>
      </c>
      <c r="B1" s="439"/>
      <c r="C1" s="439"/>
      <c r="D1" s="439"/>
      <c r="E1" s="439"/>
      <c r="F1" s="439"/>
      <c r="G1" s="439"/>
      <c r="H1" s="439"/>
      <c r="I1" s="439"/>
    </row>
    <row r="2" spans="1:10" ht="14.85" customHeight="1" thickBot="1" x14ac:dyDescent="0.25">
      <c r="A2" s="48" t="s">
        <v>5</v>
      </c>
      <c r="B2" s="101">
        <v>5227.42</v>
      </c>
      <c r="C2" s="49" t="s">
        <v>29</v>
      </c>
      <c r="D2" s="98">
        <v>12080.74</v>
      </c>
      <c r="E2" s="44" t="s">
        <v>61</v>
      </c>
      <c r="F2" s="70">
        <v>14305</v>
      </c>
      <c r="G2" s="465" t="s">
        <v>57</v>
      </c>
      <c r="H2" s="467">
        <f>F3/F2/30*365*100</f>
        <v>6.2215425841780281</v>
      </c>
      <c r="I2" s="469" t="s">
        <v>62</v>
      </c>
    </row>
    <row r="3" spans="1:10" ht="14.85" customHeight="1" x14ac:dyDescent="0.2">
      <c r="A3" s="176" t="s">
        <v>198</v>
      </c>
      <c r="B3" s="177">
        <v>230.59</v>
      </c>
      <c r="C3" s="178" t="s">
        <v>88</v>
      </c>
      <c r="D3" s="179">
        <v>5402.82</v>
      </c>
      <c r="E3" s="58" t="s">
        <v>56</v>
      </c>
      <c r="F3" s="65">
        <f>E39-E33</f>
        <v>73.15000000000002</v>
      </c>
      <c r="G3" s="466"/>
      <c r="H3" s="468"/>
      <c r="I3" s="470"/>
    </row>
    <row r="4" spans="1:10" ht="14.85" customHeight="1" x14ac:dyDescent="0.2">
      <c r="A4" s="180" t="s">
        <v>138</v>
      </c>
      <c r="B4" s="175">
        <v>2299.67</v>
      </c>
      <c r="C4" s="174" t="s">
        <v>197</v>
      </c>
      <c r="D4" s="181">
        <v>33.979999999999997</v>
      </c>
      <c r="E4" s="441" t="s">
        <v>111</v>
      </c>
      <c r="F4" s="441"/>
      <c r="G4" s="65">
        <f>E9+E11+E12+E13+E26</f>
        <v>416.04999999999995</v>
      </c>
      <c r="H4" s="44" t="s">
        <v>49</v>
      </c>
      <c r="I4" s="65">
        <f>G4/30</f>
        <v>13.868333333333332</v>
      </c>
    </row>
    <row r="5" spans="1:10" ht="14.85" customHeight="1" thickBot="1" x14ac:dyDescent="0.25">
      <c r="A5" s="182" t="s">
        <v>131</v>
      </c>
      <c r="B5" s="183">
        <v>1225.08</v>
      </c>
      <c r="C5" s="184" t="s">
        <v>196</v>
      </c>
      <c r="D5" s="185">
        <v>2888.58</v>
      </c>
      <c r="E5" s="464" t="s">
        <v>115</v>
      </c>
      <c r="F5" s="464"/>
      <c r="G5" s="64">
        <f>B3-G4</f>
        <v>-185.45999999999995</v>
      </c>
      <c r="H5" s="7"/>
      <c r="I5" s="7" t="s">
        <v>251</v>
      </c>
    </row>
    <row r="6" spans="1:10" ht="14.85" customHeight="1" x14ac:dyDescent="0.2">
      <c r="A6" s="1"/>
      <c r="B6" s="64"/>
      <c r="C6" s="1"/>
      <c r="D6" s="88"/>
      <c r="E6" s="1"/>
      <c r="F6" s="1"/>
      <c r="G6" s="64"/>
      <c r="H6" s="7"/>
      <c r="I6" s="7"/>
    </row>
    <row r="7" spans="1:10" ht="14.85" customHeight="1" x14ac:dyDescent="0.2">
      <c r="A7" s="440" t="s">
        <v>14</v>
      </c>
      <c r="B7" s="441" t="s">
        <v>123</v>
      </c>
      <c r="C7" s="441" t="s">
        <v>15</v>
      </c>
      <c r="D7" s="441"/>
      <c r="E7" s="95">
        <v>306.40999999999997</v>
      </c>
      <c r="J7" s="99" t="e">
        <v>#VALUE!</v>
      </c>
    </row>
    <row r="8" spans="1:10" ht="14.85" customHeight="1" x14ac:dyDescent="0.2">
      <c r="A8" s="440"/>
      <c r="B8" s="441"/>
      <c r="C8" s="442" t="s">
        <v>63</v>
      </c>
      <c r="D8" s="442"/>
      <c r="E8" s="95">
        <v>8.84</v>
      </c>
      <c r="J8" s="99">
        <v>8.84</v>
      </c>
    </row>
    <row r="9" spans="1:10" ht="14.85" customHeight="1" x14ac:dyDescent="0.2">
      <c r="A9" s="440"/>
      <c r="B9" s="441"/>
      <c r="C9" s="443" t="s">
        <v>9</v>
      </c>
      <c r="D9" s="443"/>
      <c r="E9" s="95">
        <v>297.57</v>
      </c>
      <c r="J9" s="99" t="e">
        <f>J7-J8</f>
        <v>#VALUE!</v>
      </c>
    </row>
    <row r="10" spans="1:10" ht="14.85" customHeight="1" x14ac:dyDescent="0.2">
      <c r="A10" s="440"/>
      <c r="B10" s="444" t="s">
        <v>16</v>
      </c>
      <c r="C10" s="447" t="s">
        <v>15</v>
      </c>
      <c r="D10" s="448"/>
      <c r="E10" s="95">
        <v>133.47</v>
      </c>
      <c r="J10" s="99">
        <v>123.97000000000001</v>
      </c>
    </row>
    <row r="11" spans="1:10" ht="14.85" customHeight="1" x14ac:dyDescent="0.2">
      <c r="A11" s="440"/>
      <c r="B11" s="445"/>
      <c r="C11" s="447" t="s">
        <v>53</v>
      </c>
      <c r="D11" s="448"/>
      <c r="E11" s="95">
        <v>18.399999999999999</v>
      </c>
      <c r="F11" s="43">
        <v>6</v>
      </c>
      <c r="G11" s="43" t="s">
        <v>84</v>
      </c>
      <c r="J11" s="99">
        <v>18.399999999999999</v>
      </c>
    </row>
    <row r="12" spans="1:10" ht="14.85" customHeight="1" x14ac:dyDescent="0.2">
      <c r="A12" s="440"/>
      <c r="B12" s="445"/>
      <c r="C12" s="447" t="s">
        <v>51</v>
      </c>
      <c r="D12" s="448"/>
      <c r="E12" s="95">
        <v>6.25</v>
      </c>
      <c r="J12" s="99">
        <v>6.25</v>
      </c>
    </row>
    <row r="13" spans="1:10" ht="14.85" customHeight="1" x14ac:dyDescent="0.2">
      <c r="A13" s="440"/>
      <c r="B13" s="446"/>
      <c r="C13" s="447" t="s">
        <v>52</v>
      </c>
      <c r="D13" s="448"/>
      <c r="E13" s="95">
        <v>50.5</v>
      </c>
      <c r="F13" s="95">
        <v>0</v>
      </c>
      <c r="G13" s="43" t="s">
        <v>83</v>
      </c>
      <c r="J13" s="99">
        <v>41</v>
      </c>
    </row>
    <row r="14" spans="1:10" ht="14.85" customHeight="1" x14ac:dyDescent="0.2">
      <c r="A14" s="440"/>
      <c r="B14" s="441" t="s">
        <v>10</v>
      </c>
      <c r="C14" s="441" t="s">
        <v>15</v>
      </c>
      <c r="D14" s="441"/>
      <c r="E14" s="95">
        <v>1999.03</v>
      </c>
      <c r="J14" s="99">
        <v>2005.88</v>
      </c>
    </row>
    <row r="15" spans="1:10" ht="14.85" customHeight="1" x14ac:dyDescent="0.2">
      <c r="A15" s="440"/>
      <c r="B15" s="441"/>
      <c r="C15" s="449" t="s">
        <v>17</v>
      </c>
      <c r="D15" s="449"/>
      <c r="E15" s="95">
        <v>0</v>
      </c>
      <c r="J15" s="99">
        <v>0</v>
      </c>
    </row>
    <row r="16" spans="1:10" ht="14.85" customHeight="1" x14ac:dyDescent="0.2">
      <c r="A16" s="440"/>
      <c r="B16" s="441"/>
      <c r="C16" s="449" t="s">
        <v>4</v>
      </c>
      <c r="D16" s="449"/>
      <c r="E16" s="95">
        <v>1292.9000000000001</v>
      </c>
      <c r="J16" s="99">
        <v>1292.9000000000001</v>
      </c>
    </row>
    <row r="17" spans="1:10" ht="14.85" customHeight="1" x14ac:dyDescent="0.2">
      <c r="A17" s="440"/>
      <c r="B17" s="441"/>
      <c r="C17" s="441" t="s">
        <v>11</v>
      </c>
      <c r="D17" s="44" t="s">
        <v>15</v>
      </c>
      <c r="E17" s="95">
        <v>341.94</v>
      </c>
      <c r="J17" s="99" t="e">
        <v>#VALUE!</v>
      </c>
    </row>
    <row r="18" spans="1:10" ht="14.85" customHeight="1" x14ac:dyDescent="0.2">
      <c r="A18" s="440"/>
      <c r="B18" s="441"/>
      <c r="C18" s="441"/>
      <c r="D18" s="49" t="s">
        <v>18</v>
      </c>
      <c r="E18" s="95">
        <f>0.01+9.55+0.01+20.4</f>
        <v>29.97</v>
      </c>
      <c r="J18" s="70" t="e">
        <v>#VALUE!</v>
      </c>
    </row>
    <row r="19" spans="1:10" ht="14.85" customHeight="1" x14ac:dyDescent="0.2">
      <c r="A19" s="440"/>
      <c r="B19" s="441"/>
      <c r="C19" s="441"/>
      <c r="D19" s="52" t="s">
        <v>110</v>
      </c>
      <c r="E19" s="95">
        <f>3.9+3.09+10.8+0.75+186+30.22+29+16</f>
        <v>279.76</v>
      </c>
      <c r="J19" s="70" t="e">
        <v>#VALUE!</v>
      </c>
    </row>
    <row r="20" spans="1:10" ht="14.85" customHeight="1" x14ac:dyDescent="0.2">
      <c r="A20" s="440"/>
      <c r="B20" s="441"/>
      <c r="C20" s="441"/>
      <c r="D20" s="48" t="s">
        <v>12</v>
      </c>
      <c r="E20" s="95">
        <f>E17-E18-E19</f>
        <v>32.210000000000036</v>
      </c>
      <c r="J20" s="99" t="e">
        <f>J17-J18-J19</f>
        <v>#VALUE!</v>
      </c>
    </row>
    <row r="21" spans="1:10" ht="14.85" customHeight="1" x14ac:dyDescent="0.2">
      <c r="A21" s="440"/>
      <c r="B21" s="441"/>
      <c r="C21" s="442" t="s">
        <v>9</v>
      </c>
      <c r="D21" s="442"/>
      <c r="E21" s="95">
        <f>E14-E15-E16-E17</f>
        <v>364.18999999999988</v>
      </c>
      <c r="J21" s="99" t="e">
        <f>J14-SUM(J15:J17)</f>
        <v>#VALUE!</v>
      </c>
    </row>
    <row r="22" spans="1:10" ht="14.85" customHeight="1" x14ac:dyDescent="0.2">
      <c r="A22" s="440"/>
      <c r="B22" s="441" t="s">
        <v>19</v>
      </c>
      <c r="C22" s="441" t="s">
        <v>15</v>
      </c>
      <c r="D22" s="441"/>
      <c r="E22" s="95">
        <v>11266.28</v>
      </c>
      <c r="J22" s="99">
        <v>11266.28</v>
      </c>
    </row>
    <row r="23" spans="1:10" ht="14.85" customHeight="1" x14ac:dyDescent="0.2">
      <c r="A23" s="440"/>
      <c r="B23" s="441"/>
      <c r="C23" s="449" t="s">
        <v>110</v>
      </c>
      <c r="D23" s="52" t="s">
        <v>117</v>
      </c>
      <c r="E23" s="95">
        <v>0</v>
      </c>
      <c r="J23" s="99" t="e">
        <v>#VALUE!</v>
      </c>
    </row>
    <row r="24" spans="1:10" ht="14.85" customHeight="1" x14ac:dyDescent="0.2">
      <c r="A24" s="440"/>
      <c r="B24" s="441"/>
      <c r="C24" s="449"/>
      <c r="D24" s="52" t="s">
        <v>21</v>
      </c>
      <c r="E24" s="95">
        <v>11236.28</v>
      </c>
      <c r="J24" s="99" t="e">
        <v>#VALUE!</v>
      </c>
    </row>
    <row r="25" spans="1:10" ht="14.85" customHeight="1" x14ac:dyDescent="0.2">
      <c r="A25" s="440"/>
      <c r="B25" s="441"/>
      <c r="C25" s="442" t="s">
        <v>9</v>
      </c>
      <c r="D25" s="442"/>
      <c r="E25" s="95">
        <v>30</v>
      </c>
      <c r="J25" s="99" t="e">
        <f>J22-J23-J24</f>
        <v>#VALUE!</v>
      </c>
    </row>
    <row r="26" spans="1:10" ht="14.85" customHeight="1" x14ac:dyDescent="0.2">
      <c r="A26" s="440"/>
      <c r="B26" s="443" t="s">
        <v>22</v>
      </c>
      <c r="C26" s="443"/>
      <c r="D26" s="443"/>
      <c r="E26" s="95">
        <v>43.330000000000013</v>
      </c>
      <c r="J26" s="99">
        <v>43.330000000000013</v>
      </c>
    </row>
    <row r="27" spans="1:10" ht="14.85" customHeight="1" x14ac:dyDescent="0.2">
      <c r="A27" s="440"/>
      <c r="B27" s="441" t="s">
        <v>124</v>
      </c>
      <c r="C27" s="441" t="s">
        <v>15</v>
      </c>
      <c r="D27" s="441"/>
      <c r="E27" s="95">
        <v>10.199999999999999</v>
      </c>
      <c r="J27" s="99" t="e">
        <v>#VALUE!</v>
      </c>
    </row>
    <row r="28" spans="1:10" ht="14.85" customHeight="1" x14ac:dyDescent="0.2">
      <c r="A28" s="440"/>
      <c r="B28" s="441"/>
      <c r="C28" s="449" t="s">
        <v>2</v>
      </c>
      <c r="D28" s="449"/>
      <c r="E28" s="95">
        <v>0</v>
      </c>
      <c r="J28" s="99">
        <v>0</v>
      </c>
    </row>
    <row r="29" spans="1:10" ht="14.85" customHeight="1" x14ac:dyDescent="0.2">
      <c r="A29" s="440"/>
      <c r="B29" s="441"/>
      <c r="C29" s="443" t="s">
        <v>9</v>
      </c>
      <c r="D29" s="443"/>
      <c r="E29" s="95">
        <v>10.199999999999999</v>
      </c>
      <c r="J29" s="99" t="e">
        <f>J27-J28</f>
        <v>#VALUE!</v>
      </c>
    </row>
    <row r="30" spans="1:10" ht="14.85" customHeight="1" x14ac:dyDescent="0.2">
      <c r="A30" s="440"/>
      <c r="B30" s="443" t="s">
        <v>125</v>
      </c>
      <c r="C30" s="443"/>
      <c r="D30" s="443"/>
      <c r="E30" s="95">
        <v>196.12</v>
      </c>
      <c r="J30" s="99" t="e">
        <v>#VALUE!</v>
      </c>
    </row>
    <row r="31" spans="1:10" ht="14.85" customHeight="1" x14ac:dyDescent="0.2">
      <c r="A31" s="440"/>
      <c r="B31" s="443" t="s">
        <v>25</v>
      </c>
      <c r="C31" s="443"/>
      <c r="D31" s="443"/>
      <c r="E31" s="95">
        <v>23.45</v>
      </c>
      <c r="J31" s="99">
        <v>1.5</v>
      </c>
    </row>
    <row r="32" spans="1:10" ht="14.85" customHeight="1" x14ac:dyDescent="0.2">
      <c r="A32" s="440"/>
      <c r="B32" s="441" t="s">
        <v>11</v>
      </c>
      <c r="C32" s="441" t="s">
        <v>15</v>
      </c>
      <c r="D32" s="441"/>
      <c r="E32" s="95">
        <v>92.29</v>
      </c>
      <c r="J32" s="99">
        <v>92.62</v>
      </c>
    </row>
    <row r="33" spans="1:10" ht="14.85" customHeight="1" x14ac:dyDescent="0.2">
      <c r="A33" s="440"/>
      <c r="B33" s="441"/>
      <c r="C33" s="447" t="s">
        <v>58</v>
      </c>
      <c r="D33" s="448"/>
      <c r="E33" s="95">
        <v>32.47</v>
      </c>
      <c r="J33" s="99">
        <v>32.47</v>
      </c>
    </row>
    <row r="34" spans="1:10" ht="14.85" customHeight="1" x14ac:dyDescent="0.2">
      <c r="A34" s="440"/>
      <c r="B34" s="441"/>
      <c r="C34" s="441" t="s">
        <v>11</v>
      </c>
      <c r="D34" s="44" t="s">
        <v>15</v>
      </c>
      <c r="E34" s="95">
        <v>0</v>
      </c>
      <c r="J34" s="99" t="e">
        <v>#VALUE!</v>
      </c>
    </row>
    <row r="35" spans="1:10" ht="14.85" customHeight="1" x14ac:dyDescent="0.2">
      <c r="A35" s="440"/>
      <c r="B35" s="441"/>
      <c r="C35" s="441"/>
      <c r="D35" s="48" t="s">
        <v>12</v>
      </c>
      <c r="E35" s="95">
        <v>0</v>
      </c>
      <c r="J35" s="70">
        <v>0</v>
      </c>
    </row>
    <row r="36" spans="1:10" ht="14.85" customHeight="1" x14ac:dyDescent="0.2">
      <c r="A36" s="440"/>
      <c r="B36" s="441"/>
      <c r="C36" s="441"/>
      <c r="D36" s="52" t="s">
        <v>110</v>
      </c>
      <c r="E36" s="95">
        <v>0</v>
      </c>
      <c r="J36" s="70">
        <v>0</v>
      </c>
    </row>
    <row r="37" spans="1:10" ht="14.85" customHeight="1" x14ac:dyDescent="0.2">
      <c r="A37" s="440"/>
      <c r="B37" s="441"/>
      <c r="C37" s="441"/>
      <c r="D37" s="49" t="s">
        <v>18</v>
      </c>
      <c r="E37" s="95">
        <v>0</v>
      </c>
      <c r="J37" s="70">
        <v>0</v>
      </c>
    </row>
    <row r="38" spans="1:10" ht="14.85" customHeight="1" x14ac:dyDescent="0.2">
      <c r="A38" s="440"/>
      <c r="B38" s="441"/>
      <c r="C38" s="443" t="s">
        <v>9</v>
      </c>
      <c r="D38" s="443"/>
      <c r="E38" s="95">
        <f>E32-E33</f>
        <v>59.820000000000007</v>
      </c>
      <c r="J38" s="99" t="e">
        <f>J32-J34-J33</f>
        <v>#VALUE!</v>
      </c>
    </row>
    <row r="39" spans="1:10" ht="14.85" customHeight="1" x14ac:dyDescent="0.2">
      <c r="A39" s="47" t="s">
        <v>59</v>
      </c>
      <c r="B39" s="441" t="s">
        <v>60</v>
      </c>
      <c r="C39" s="441"/>
      <c r="D39" s="441"/>
      <c r="E39" s="95">
        <v>105.62000000000002</v>
      </c>
      <c r="J39" s="100">
        <v>105.62000000000002</v>
      </c>
    </row>
    <row r="40" spans="1:10" ht="14.85" customHeight="1" x14ac:dyDescent="0.2">
      <c r="A40" s="54"/>
    </row>
    <row r="41" spans="1:10" ht="14.85" customHeight="1" x14ac:dyDescent="0.2">
      <c r="A41" s="59" t="s">
        <v>71</v>
      </c>
      <c r="B41" s="93">
        <v>10</v>
      </c>
      <c r="C41" s="59" t="s">
        <v>68</v>
      </c>
      <c r="D41" s="59"/>
      <c r="E41" s="55">
        <f>SUM(E42:E76)</f>
        <v>12256.825000000001</v>
      </c>
      <c r="F41" s="59" t="s">
        <v>107</v>
      </c>
      <c r="G41" s="43" t="s">
        <v>73</v>
      </c>
      <c r="H41" s="43" t="s">
        <v>108</v>
      </c>
    </row>
    <row r="42" spans="1:10" ht="14.85" customHeight="1" x14ac:dyDescent="0.2">
      <c r="A42" s="450" t="s">
        <v>70</v>
      </c>
      <c r="B42" s="451" t="s">
        <v>13</v>
      </c>
      <c r="C42" s="451" t="s">
        <v>15</v>
      </c>
      <c r="D42" s="451"/>
      <c r="E42" s="94">
        <f>F42+G42/2</f>
        <v>2030.56</v>
      </c>
      <c r="F42" s="94">
        <v>2030.56</v>
      </c>
      <c r="G42" s="95"/>
      <c r="H42" s="95">
        <f>E42/$B$41</f>
        <v>203.05599999999998</v>
      </c>
    </row>
    <row r="43" spans="1:10" ht="14.85" customHeight="1" x14ac:dyDescent="0.2">
      <c r="A43" s="450"/>
      <c r="B43" s="451"/>
      <c r="C43" s="452" t="s">
        <v>63</v>
      </c>
      <c r="D43" s="452"/>
      <c r="E43" s="94">
        <f t="shared" ref="E43:E69" si="0">F43+G43/2</f>
        <v>118.6</v>
      </c>
      <c r="F43" s="94">
        <v>118.6</v>
      </c>
      <c r="G43" s="95"/>
      <c r="H43" s="95">
        <f t="shared" ref="H43:H77" si="1">E43/$B$41</f>
        <v>11.86</v>
      </c>
    </row>
    <row r="44" spans="1:10" ht="14.85" customHeight="1" x14ac:dyDescent="0.2">
      <c r="A44" s="450"/>
      <c r="B44" s="451"/>
      <c r="C44" s="453" t="s">
        <v>9</v>
      </c>
      <c r="D44" s="453"/>
      <c r="E44" s="94">
        <f t="shared" si="0"/>
        <v>0</v>
      </c>
      <c r="F44" s="94"/>
      <c r="G44" s="95"/>
      <c r="H44" s="95">
        <f t="shared" si="1"/>
        <v>0</v>
      </c>
    </row>
    <row r="45" spans="1:10" ht="14.85" customHeight="1" x14ac:dyDescent="0.2">
      <c r="A45" s="450"/>
      <c r="B45" s="454" t="s">
        <v>16</v>
      </c>
      <c r="C45" s="457" t="s">
        <v>78</v>
      </c>
      <c r="D45" s="458"/>
      <c r="E45" s="94">
        <f t="shared" si="0"/>
        <v>2600.4949999999999</v>
      </c>
      <c r="F45" s="94">
        <v>0</v>
      </c>
      <c r="G45" s="95">
        <v>5200.99</v>
      </c>
      <c r="H45" s="95">
        <f t="shared" si="1"/>
        <v>260.04949999999997</v>
      </c>
    </row>
    <row r="46" spans="1:10" ht="14.85" hidden="1" customHeight="1" x14ac:dyDescent="0.2">
      <c r="A46" s="450"/>
      <c r="B46" s="455"/>
      <c r="C46" s="457" t="s">
        <v>53</v>
      </c>
      <c r="D46" s="458"/>
      <c r="E46" s="94">
        <f t="shared" si="0"/>
        <v>0</v>
      </c>
      <c r="F46" s="94"/>
      <c r="G46" s="95"/>
      <c r="H46" s="95">
        <f t="shared" si="1"/>
        <v>0</v>
      </c>
    </row>
    <row r="47" spans="1:10" ht="14.85" hidden="1" customHeight="1" x14ac:dyDescent="0.2">
      <c r="A47" s="450"/>
      <c r="B47" s="455"/>
      <c r="C47" s="457" t="s">
        <v>51</v>
      </c>
      <c r="D47" s="458"/>
      <c r="E47" s="94">
        <f t="shared" si="0"/>
        <v>0</v>
      </c>
      <c r="F47" s="94"/>
      <c r="G47" s="95"/>
      <c r="H47" s="95">
        <f t="shared" si="1"/>
        <v>0</v>
      </c>
    </row>
    <row r="48" spans="1:10" ht="14.85" customHeight="1" x14ac:dyDescent="0.2">
      <c r="A48" s="450"/>
      <c r="B48" s="456"/>
      <c r="C48" s="457" t="s">
        <v>52</v>
      </c>
      <c r="D48" s="458"/>
      <c r="E48" s="94">
        <f t="shared" si="0"/>
        <v>55.5</v>
      </c>
      <c r="F48" s="94">
        <v>55.5</v>
      </c>
      <c r="G48" s="95"/>
      <c r="H48" s="95">
        <f t="shared" si="1"/>
        <v>5.55</v>
      </c>
    </row>
    <row r="49" spans="1:8" ht="14.85" customHeight="1" x14ac:dyDescent="0.2">
      <c r="A49" s="450"/>
      <c r="B49" s="451" t="s">
        <v>10</v>
      </c>
      <c r="C49" s="451" t="s">
        <v>15</v>
      </c>
      <c r="D49" s="451"/>
      <c r="E49" s="94">
        <f t="shared" si="0"/>
        <v>3793.35</v>
      </c>
      <c r="F49" s="94">
        <v>3793.35</v>
      </c>
      <c r="G49" s="95"/>
      <c r="H49" s="95">
        <f t="shared" si="1"/>
        <v>379.33499999999998</v>
      </c>
    </row>
    <row r="50" spans="1:8" ht="14.85" customHeight="1" x14ac:dyDescent="0.2">
      <c r="A50" s="450"/>
      <c r="B50" s="451"/>
      <c r="C50" s="459" t="s">
        <v>17</v>
      </c>
      <c r="D50" s="459"/>
      <c r="E50" s="94">
        <f t="shared" si="0"/>
        <v>0</v>
      </c>
      <c r="F50" s="94"/>
      <c r="G50" s="95"/>
      <c r="H50" s="95">
        <f t="shared" si="1"/>
        <v>0</v>
      </c>
    </row>
    <row r="51" spans="1:8" ht="14.85" customHeight="1" x14ac:dyDescent="0.2">
      <c r="A51" s="450"/>
      <c r="B51" s="451"/>
      <c r="C51" s="459" t="s">
        <v>4</v>
      </c>
      <c r="D51" s="459"/>
      <c r="E51" s="94">
        <f t="shared" si="0"/>
        <v>0</v>
      </c>
      <c r="F51" s="94"/>
      <c r="G51" s="95"/>
      <c r="H51" s="95">
        <f t="shared" si="1"/>
        <v>0</v>
      </c>
    </row>
    <row r="52" spans="1:8" ht="14.85" customHeight="1" x14ac:dyDescent="0.2">
      <c r="A52" s="450"/>
      <c r="B52" s="451"/>
      <c r="C52" s="451" t="s">
        <v>11</v>
      </c>
      <c r="D52" s="53" t="s">
        <v>15</v>
      </c>
      <c r="E52" s="94">
        <f t="shared" si="0"/>
        <v>0</v>
      </c>
      <c r="F52" s="94"/>
      <c r="G52" s="95"/>
      <c r="H52" s="95">
        <f t="shared" si="1"/>
        <v>0</v>
      </c>
    </row>
    <row r="53" spans="1:8" ht="14.85" customHeight="1" x14ac:dyDescent="0.2">
      <c r="A53" s="450"/>
      <c r="B53" s="451"/>
      <c r="C53" s="451"/>
      <c r="D53" s="62" t="s">
        <v>18</v>
      </c>
      <c r="E53" s="94">
        <f t="shared" si="0"/>
        <v>0</v>
      </c>
      <c r="F53" s="94"/>
      <c r="G53" s="95"/>
      <c r="H53" s="95">
        <f t="shared" si="1"/>
        <v>0</v>
      </c>
    </row>
    <row r="54" spans="1:8" ht="14.85" customHeight="1" x14ac:dyDescent="0.2">
      <c r="A54" s="450"/>
      <c r="B54" s="451"/>
      <c r="C54" s="451"/>
      <c r="D54" s="63" t="s">
        <v>3</v>
      </c>
      <c r="E54" s="94">
        <f t="shared" si="0"/>
        <v>0</v>
      </c>
      <c r="F54" s="94"/>
      <c r="G54" s="95"/>
      <c r="H54" s="95">
        <f t="shared" si="1"/>
        <v>0</v>
      </c>
    </row>
    <row r="55" spans="1:8" ht="14.85" customHeight="1" x14ac:dyDescent="0.2">
      <c r="A55" s="450"/>
      <c r="B55" s="451"/>
      <c r="C55" s="451"/>
      <c r="D55" s="61" t="s">
        <v>12</v>
      </c>
      <c r="E55" s="94">
        <f t="shared" si="0"/>
        <v>0</v>
      </c>
      <c r="F55" s="94"/>
      <c r="G55" s="95"/>
      <c r="H55" s="95">
        <f t="shared" si="1"/>
        <v>0</v>
      </c>
    </row>
    <row r="56" spans="1:8" ht="14.85" customHeight="1" x14ac:dyDescent="0.2">
      <c r="A56" s="450"/>
      <c r="B56" s="451"/>
      <c r="C56" s="452" t="s">
        <v>9</v>
      </c>
      <c r="D56" s="452"/>
      <c r="E56" s="94">
        <f t="shared" si="0"/>
        <v>0</v>
      </c>
      <c r="F56" s="94"/>
      <c r="G56" s="95"/>
      <c r="H56" s="95">
        <f t="shared" si="1"/>
        <v>0</v>
      </c>
    </row>
    <row r="57" spans="1:8" ht="14.85" customHeight="1" x14ac:dyDescent="0.2">
      <c r="A57" s="450"/>
      <c r="B57" s="451" t="s">
        <v>19</v>
      </c>
      <c r="C57" s="451" t="s">
        <v>80</v>
      </c>
      <c r="D57" s="451"/>
      <c r="E57" s="94">
        <f t="shared" si="0"/>
        <v>392.73500000000001</v>
      </c>
      <c r="F57" s="94"/>
      <c r="G57" s="95">
        <v>785.47</v>
      </c>
      <c r="H57" s="95">
        <f t="shared" si="1"/>
        <v>39.273499999999999</v>
      </c>
    </row>
    <row r="58" spans="1:8" ht="14.85" customHeight="1" x14ac:dyDescent="0.2">
      <c r="A58" s="450"/>
      <c r="B58" s="451"/>
      <c r="C58" s="459" t="s">
        <v>3</v>
      </c>
      <c r="D58" s="63" t="s">
        <v>20</v>
      </c>
      <c r="E58" s="94">
        <f t="shared" si="0"/>
        <v>0</v>
      </c>
      <c r="F58" s="94"/>
      <c r="G58" s="95"/>
      <c r="H58" s="95">
        <f t="shared" si="1"/>
        <v>0</v>
      </c>
    </row>
    <row r="59" spans="1:8" ht="14.85" hidden="1" customHeight="1" x14ac:dyDescent="0.2">
      <c r="A59" s="450"/>
      <c r="B59" s="451"/>
      <c r="C59" s="459"/>
      <c r="D59" s="63" t="s">
        <v>21</v>
      </c>
      <c r="E59" s="94">
        <f t="shared" si="0"/>
        <v>0</v>
      </c>
      <c r="F59" s="94"/>
      <c r="G59" s="95"/>
      <c r="H59" s="95">
        <f t="shared" si="1"/>
        <v>0</v>
      </c>
    </row>
    <row r="60" spans="1:8" ht="14.85" customHeight="1" x14ac:dyDescent="0.2">
      <c r="A60" s="450"/>
      <c r="B60" s="451"/>
      <c r="C60" s="452" t="s">
        <v>9</v>
      </c>
      <c r="D60" s="452"/>
      <c r="E60" s="94">
        <f t="shared" si="0"/>
        <v>0</v>
      </c>
      <c r="F60" s="94"/>
      <c r="G60" s="95"/>
      <c r="H60" s="95">
        <f t="shared" si="1"/>
        <v>0</v>
      </c>
    </row>
    <row r="61" spans="1:8" ht="14.85" customHeight="1" x14ac:dyDescent="0.2">
      <c r="A61" s="450"/>
      <c r="B61" s="454" t="s">
        <v>22</v>
      </c>
      <c r="C61" s="454" t="s">
        <v>76</v>
      </c>
      <c r="D61" s="62" t="s">
        <v>74</v>
      </c>
      <c r="E61" s="94">
        <f t="shared" si="0"/>
        <v>136</v>
      </c>
      <c r="F61" s="94">
        <v>76</v>
      </c>
      <c r="G61" s="95">
        <v>120</v>
      </c>
      <c r="H61" s="95">
        <f t="shared" si="1"/>
        <v>13.6</v>
      </c>
    </row>
    <row r="62" spans="1:8" ht="14.85" customHeight="1" x14ac:dyDescent="0.2">
      <c r="A62" s="450"/>
      <c r="B62" s="455"/>
      <c r="C62" s="456"/>
      <c r="D62" s="62" t="s">
        <v>75</v>
      </c>
      <c r="E62" s="94">
        <f t="shared" si="0"/>
        <v>2873.335</v>
      </c>
      <c r="F62" s="94">
        <v>1909.34</v>
      </c>
      <c r="G62" s="95">
        <v>1927.99</v>
      </c>
      <c r="H62" s="95">
        <f t="shared" si="1"/>
        <v>287.33350000000002</v>
      </c>
    </row>
    <row r="63" spans="1:8" ht="14.85" customHeight="1" x14ac:dyDescent="0.2">
      <c r="A63" s="450"/>
      <c r="B63" s="456"/>
      <c r="C63" s="460" t="s">
        <v>77</v>
      </c>
      <c r="D63" s="461"/>
      <c r="E63" s="94">
        <f t="shared" si="0"/>
        <v>0</v>
      </c>
      <c r="F63" s="94"/>
      <c r="G63" s="95"/>
      <c r="H63" s="95">
        <f t="shared" si="1"/>
        <v>0</v>
      </c>
    </row>
    <row r="64" spans="1:8" ht="14.85" hidden="1" customHeight="1" x14ac:dyDescent="0.2">
      <c r="A64" s="450"/>
      <c r="B64" s="62"/>
      <c r="C64" s="462"/>
      <c r="D64" s="463"/>
      <c r="E64" s="94">
        <f t="shared" si="0"/>
        <v>0</v>
      </c>
      <c r="F64" s="94"/>
      <c r="G64" s="95"/>
      <c r="H64" s="95">
        <f t="shared" si="1"/>
        <v>0</v>
      </c>
    </row>
    <row r="65" spans="1:8" ht="14.85" hidden="1" customHeight="1" x14ac:dyDescent="0.2">
      <c r="A65" s="450"/>
      <c r="B65" s="451" t="s">
        <v>23</v>
      </c>
      <c r="C65" s="451" t="s">
        <v>15</v>
      </c>
      <c r="D65" s="451"/>
      <c r="E65" s="94">
        <f t="shared" si="0"/>
        <v>0</v>
      </c>
      <c r="F65" s="94"/>
      <c r="G65" s="95"/>
      <c r="H65" s="95">
        <f t="shared" si="1"/>
        <v>0</v>
      </c>
    </row>
    <row r="66" spans="1:8" ht="14.85" hidden="1" customHeight="1" x14ac:dyDescent="0.2">
      <c r="A66" s="450"/>
      <c r="B66" s="451"/>
      <c r="C66" s="459" t="s">
        <v>2</v>
      </c>
      <c r="D66" s="459"/>
      <c r="E66" s="94">
        <f t="shared" si="0"/>
        <v>0</v>
      </c>
      <c r="F66" s="94"/>
      <c r="G66" s="95"/>
      <c r="H66" s="95">
        <f t="shared" si="1"/>
        <v>0</v>
      </c>
    </row>
    <row r="67" spans="1:8" ht="14.85" hidden="1" customHeight="1" x14ac:dyDescent="0.2">
      <c r="A67" s="450"/>
      <c r="B67" s="451"/>
      <c r="C67" s="453" t="s">
        <v>9</v>
      </c>
      <c r="D67" s="453"/>
      <c r="E67" s="94">
        <f t="shared" si="0"/>
        <v>0</v>
      </c>
      <c r="F67" s="94"/>
      <c r="G67" s="95"/>
      <c r="H67" s="95">
        <f t="shared" si="1"/>
        <v>0</v>
      </c>
    </row>
    <row r="68" spans="1:8" ht="14.85" customHeight="1" x14ac:dyDescent="0.2">
      <c r="A68" s="450"/>
      <c r="B68" s="453" t="s">
        <v>24</v>
      </c>
      <c r="C68" s="453"/>
      <c r="D68" s="453"/>
      <c r="E68" s="94">
        <f t="shared" si="0"/>
        <v>0</v>
      </c>
      <c r="F68" s="94"/>
      <c r="G68" s="95"/>
      <c r="H68" s="95">
        <f t="shared" si="1"/>
        <v>0</v>
      </c>
    </row>
    <row r="69" spans="1:8" ht="14.85" customHeight="1" x14ac:dyDescent="0.2">
      <c r="A69" s="450"/>
      <c r="B69" s="453" t="s">
        <v>25</v>
      </c>
      <c r="C69" s="453"/>
      <c r="D69" s="453"/>
      <c r="E69" s="94">
        <f t="shared" si="0"/>
        <v>0</v>
      </c>
      <c r="F69" s="94"/>
      <c r="G69" s="95"/>
      <c r="H69" s="95">
        <f t="shared" si="1"/>
        <v>0</v>
      </c>
    </row>
    <row r="70" spans="1:8" ht="14.85" customHeight="1" x14ac:dyDescent="0.2">
      <c r="A70" s="450"/>
      <c r="B70" s="451" t="s">
        <v>11</v>
      </c>
      <c r="C70" s="451" t="s">
        <v>79</v>
      </c>
      <c r="D70" s="451"/>
      <c r="E70" s="94">
        <f t="shared" ref="E70:E77" si="2">F70+G70/2</f>
        <v>171.25</v>
      </c>
      <c r="F70" s="94">
        <f>155+16.25</f>
        <v>171.25</v>
      </c>
      <c r="G70" s="95"/>
      <c r="H70" s="95">
        <f t="shared" si="1"/>
        <v>17.125</v>
      </c>
    </row>
    <row r="71" spans="1:8" ht="14.85" customHeight="1" x14ac:dyDescent="0.2">
      <c r="A71" s="450"/>
      <c r="B71" s="451"/>
      <c r="C71" s="457" t="s">
        <v>81</v>
      </c>
      <c r="D71" s="458"/>
      <c r="E71" s="94">
        <f t="shared" si="2"/>
        <v>85</v>
      </c>
      <c r="F71" s="94">
        <v>85</v>
      </c>
      <c r="G71" s="95"/>
      <c r="H71" s="95">
        <f t="shared" si="1"/>
        <v>8.5</v>
      </c>
    </row>
    <row r="72" spans="1:8" ht="14.85" customHeight="1" x14ac:dyDescent="0.2">
      <c r="A72" s="450"/>
      <c r="B72" s="451"/>
      <c r="C72" s="451" t="s">
        <v>11</v>
      </c>
      <c r="D72" s="53" t="s">
        <v>15</v>
      </c>
      <c r="E72" s="94">
        <f t="shared" si="2"/>
        <v>0</v>
      </c>
      <c r="F72" s="94"/>
      <c r="G72" s="95"/>
      <c r="H72" s="95">
        <f t="shared" si="1"/>
        <v>0</v>
      </c>
    </row>
    <row r="73" spans="1:8" ht="14.85" customHeight="1" x14ac:dyDescent="0.2">
      <c r="A73" s="450"/>
      <c r="B73" s="451"/>
      <c r="C73" s="451"/>
      <c r="D73" s="61" t="s">
        <v>12</v>
      </c>
      <c r="E73" s="94">
        <f t="shared" si="2"/>
        <v>0</v>
      </c>
      <c r="F73" s="94"/>
      <c r="G73" s="95"/>
      <c r="H73" s="95">
        <f t="shared" si="1"/>
        <v>0</v>
      </c>
    </row>
    <row r="74" spans="1:8" ht="14.85" customHeight="1" x14ac:dyDescent="0.2">
      <c r="A74" s="450"/>
      <c r="B74" s="451"/>
      <c r="C74" s="451"/>
      <c r="D74" s="63" t="s">
        <v>3</v>
      </c>
      <c r="E74" s="94">
        <f t="shared" si="2"/>
        <v>0</v>
      </c>
      <c r="F74" s="94"/>
      <c r="G74" s="95"/>
      <c r="H74" s="95">
        <f t="shared" si="1"/>
        <v>0</v>
      </c>
    </row>
    <row r="75" spans="1:8" ht="14.85" customHeight="1" x14ac:dyDescent="0.2">
      <c r="A75" s="450"/>
      <c r="B75" s="451"/>
      <c r="C75" s="451"/>
      <c r="D75" s="62" t="s">
        <v>18</v>
      </c>
      <c r="E75" s="94">
        <f t="shared" si="2"/>
        <v>0</v>
      </c>
      <c r="F75" s="94"/>
      <c r="G75" s="95"/>
      <c r="H75" s="95">
        <f t="shared" si="1"/>
        <v>0</v>
      </c>
    </row>
    <row r="76" spans="1:8" ht="14.85" customHeight="1" x14ac:dyDescent="0.2">
      <c r="A76" s="450"/>
      <c r="B76" s="451"/>
      <c r="C76" s="453" t="s">
        <v>9</v>
      </c>
      <c r="D76" s="453"/>
      <c r="E76" s="94">
        <f t="shared" si="2"/>
        <v>0</v>
      </c>
      <c r="F76" s="94"/>
      <c r="G76" s="95"/>
      <c r="H76" s="95">
        <f t="shared" si="1"/>
        <v>0</v>
      </c>
    </row>
    <row r="77" spans="1:8" ht="14.85" customHeight="1" x14ac:dyDescent="0.2">
      <c r="A77" s="60" t="s">
        <v>59</v>
      </c>
      <c r="B77" s="451" t="s">
        <v>72</v>
      </c>
      <c r="C77" s="451"/>
      <c r="D77" s="451"/>
      <c r="E77" s="94">
        <f t="shared" si="2"/>
        <v>0</v>
      </c>
      <c r="F77" s="94"/>
      <c r="G77" s="95"/>
      <c r="H77" s="95">
        <f t="shared" si="1"/>
        <v>0</v>
      </c>
    </row>
  </sheetData>
  <mergeCells count="74">
    <mergeCell ref="C61:C62"/>
    <mergeCell ref="C63:D64"/>
    <mergeCell ref="B61:B63"/>
    <mergeCell ref="B68:D68"/>
    <mergeCell ref="B69:D69"/>
    <mergeCell ref="B65:B67"/>
    <mergeCell ref="C65:D65"/>
    <mergeCell ref="C66:D66"/>
    <mergeCell ref="C67:D67"/>
    <mergeCell ref="B77:D77"/>
    <mergeCell ref="B70:B76"/>
    <mergeCell ref="C70:D70"/>
    <mergeCell ref="C71:D71"/>
    <mergeCell ref="C72:C75"/>
    <mergeCell ref="C76:D76"/>
    <mergeCell ref="C56:D56"/>
    <mergeCell ref="B57:B60"/>
    <mergeCell ref="C57:D57"/>
    <mergeCell ref="C58:C59"/>
    <mergeCell ref="C60:D60"/>
    <mergeCell ref="B39:D39"/>
    <mergeCell ref="A42:A76"/>
    <mergeCell ref="B42:B44"/>
    <mergeCell ref="C42:D42"/>
    <mergeCell ref="C43:D43"/>
    <mergeCell ref="C44:D44"/>
    <mergeCell ref="B45:B48"/>
    <mergeCell ref="C45:D45"/>
    <mergeCell ref="C46:D46"/>
    <mergeCell ref="C47:D47"/>
    <mergeCell ref="C48:D48"/>
    <mergeCell ref="B49:B56"/>
    <mergeCell ref="C49:D49"/>
    <mergeCell ref="C50:D50"/>
    <mergeCell ref="C51:D51"/>
    <mergeCell ref="C52:C55"/>
    <mergeCell ref="B26:D26"/>
    <mergeCell ref="B30:D30"/>
    <mergeCell ref="B31:D31"/>
    <mergeCell ref="B32:B38"/>
    <mergeCell ref="C32:D32"/>
    <mergeCell ref="C33:D33"/>
    <mergeCell ref="C34:C37"/>
    <mergeCell ref="C38:D38"/>
    <mergeCell ref="C15:D15"/>
    <mergeCell ref="C16:D16"/>
    <mergeCell ref="C17:C20"/>
    <mergeCell ref="C21:D21"/>
    <mergeCell ref="B22:B25"/>
    <mergeCell ref="C22:D22"/>
    <mergeCell ref="C23:C24"/>
    <mergeCell ref="C25:D25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C13:D13"/>
    <mergeCell ref="B27:B29"/>
    <mergeCell ref="C27:D27"/>
    <mergeCell ref="C28:D28"/>
    <mergeCell ref="C29:D29"/>
    <mergeCell ref="B14:B21"/>
    <mergeCell ref="C14:D14"/>
    <mergeCell ref="E5:F5"/>
    <mergeCell ref="A1:I1"/>
    <mergeCell ref="G2:G3"/>
    <mergeCell ref="H2:H3"/>
    <mergeCell ref="I2:I3"/>
    <mergeCell ref="E4:F4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CED6-FA25-4925-823A-4650B29370ED}">
  <sheetPr codeName="Sheet12"/>
  <dimension ref="A1:I41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0.75" style="43" customWidth="1"/>
    <col min="2" max="2" width="15.75" style="43" customWidth="1"/>
    <col min="3" max="3" width="12" style="43" customWidth="1"/>
    <col min="4" max="4" width="13.5" style="43" customWidth="1"/>
    <col min="5" max="5" width="13.375" style="43" customWidth="1"/>
    <col min="6" max="6" width="15.25" style="43" customWidth="1"/>
    <col min="7" max="7" width="8.125" style="43" customWidth="1"/>
    <col min="8" max="8" width="14" style="43" customWidth="1"/>
    <col min="9" max="9" width="10.75" style="43" customWidth="1"/>
    <col min="10" max="10" width="9.375" style="43" customWidth="1"/>
    <col min="11" max="11" width="8.75" style="43"/>
    <col min="12" max="12" width="11.375" style="43" customWidth="1"/>
    <col min="13" max="13" width="8.125" style="43" customWidth="1"/>
    <col min="14" max="16384" width="8.75" style="43"/>
  </cols>
  <sheetData>
    <row r="1" spans="1:9" ht="23.85" customHeight="1" x14ac:dyDescent="0.2">
      <c r="A1" s="439" t="s">
        <v>69</v>
      </c>
      <c r="B1" s="439"/>
      <c r="C1" s="439"/>
      <c r="D1" s="439"/>
      <c r="E1" s="439"/>
      <c r="F1" s="439"/>
      <c r="G1" s="439"/>
      <c r="H1" s="439"/>
      <c r="I1" s="439"/>
    </row>
    <row r="2" spans="1:9" ht="14.85" customHeight="1" thickBot="1" x14ac:dyDescent="0.25">
      <c r="A2" s="48" t="s">
        <v>5</v>
      </c>
      <c r="B2" s="101">
        <v>21993.71</v>
      </c>
      <c r="C2" s="49" t="s">
        <v>29</v>
      </c>
      <c r="D2" s="98">
        <v>5239.03</v>
      </c>
      <c r="E2" s="44" t="s">
        <v>61</v>
      </c>
      <c r="F2" s="70">
        <v>22275.5</v>
      </c>
      <c r="G2" s="465" t="s">
        <v>57</v>
      </c>
      <c r="H2" s="467">
        <f>F3/F2/30*365*100</f>
        <v>0</v>
      </c>
      <c r="I2" s="469" t="s">
        <v>62</v>
      </c>
    </row>
    <row r="3" spans="1:9" ht="14.85" customHeight="1" x14ac:dyDescent="0.2">
      <c r="A3" s="176" t="s">
        <v>198</v>
      </c>
      <c r="B3" s="177">
        <v>53.43</v>
      </c>
      <c r="C3" s="178" t="s">
        <v>88</v>
      </c>
      <c r="D3" s="179">
        <v>1353.84</v>
      </c>
      <c r="E3" s="58" t="s">
        <v>56</v>
      </c>
      <c r="F3" s="65">
        <f>E39-E33</f>
        <v>0</v>
      </c>
      <c r="G3" s="466"/>
      <c r="H3" s="468"/>
      <c r="I3" s="470"/>
    </row>
    <row r="4" spans="1:9" ht="14.85" customHeight="1" x14ac:dyDescent="0.2">
      <c r="A4" s="180" t="s">
        <v>138</v>
      </c>
      <c r="B4" s="175">
        <v>1068.47</v>
      </c>
      <c r="C4" s="174" t="s">
        <v>197</v>
      </c>
      <c r="D4" s="181">
        <v>109</v>
      </c>
      <c r="E4" s="441"/>
      <c r="F4" s="441"/>
      <c r="G4" s="65"/>
      <c r="H4" s="44"/>
      <c r="I4" s="65"/>
    </row>
    <row r="5" spans="1:9" s="7" customFormat="1" ht="14.85" customHeight="1" thickBot="1" x14ac:dyDescent="0.25">
      <c r="A5" s="182" t="s">
        <v>131</v>
      </c>
      <c r="B5" s="183">
        <v>2047.6</v>
      </c>
      <c r="C5" s="184" t="s">
        <v>196</v>
      </c>
      <c r="D5" s="185">
        <v>606.69000000000005</v>
      </c>
      <c r="E5" s="464"/>
      <c r="F5" s="464"/>
      <c r="G5" s="64"/>
    </row>
    <row r="6" spans="1:9" s="7" customFormat="1" ht="14.85" customHeight="1" x14ac:dyDescent="0.2">
      <c r="A6" s="1"/>
      <c r="B6" s="64"/>
      <c r="C6" s="1"/>
      <c r="D6" s="88"/>
      <c r="E6" s="72"/>
      <c r="F6" s="1"/>
      <c r="G6" s="64"/>
    </row>
    <row r="7" spans="1:9" ht="14.85" customHeight="1" x14ac:dyDescent="0.2">
      <c r="A7" s="440" t="s">
        <v>14</v>
      </c>
      <c r="B7" s="441" t="s">
        <v>13</v>
      </c>
      <c r="C7" s="441" t="s">
        <v>15</v>
      </c>
      <c r="D7" s="441"/>
      <c r="E7" s="99">
        <v>1030.7099999999996</v>
      </c>
    </row>
    <row r="8" spans="1:9" ht="14.85" customHeight="1" x14ac:dyDescent="0.2">
      <c r="A8" s="440"/>
      <c r="B8" s="441"/>
      <c r="C8" s="442" t="s">
        <v>63</v>
      </c>
      <c r="D8" s="442"/>
      <c r="E8" s="99">
        <v>82.19</v>
      </c>
    </row>
    <row r="9" spans="1:9" ht="14.85" customHeight="1" x14ac:dyDescent="0.2">
      <c r="A9" s="440"/>
      <c r="B9" s="441"/>
      <c r="C9" s="443" t="s">
        <v>9</v>
      </c>
      <c r="D9" s="443"/>
      <c r="E9" s="99">
        <v>948.51999999999953</v>
      </c>
      <c r="H9" s="43" t="s">
        <v>98</v>
      </c>
    </row>
    <row r="10" spans="1:9" ht="14.85" customHeight="1" x14ac:dyDescent="0.2">
      <c r="A10" s="440"/>
      <c r="B10" s="444" t="s">
        <v>16</v>
      </c>
      <c r="C10" s="447" t="s">
        <v>15</v>
      </c>
      <c r="D10" s="448"/>
      <c r="E10" s="99">
        <v>235.23</v>
      </c>
      <c r="H10" s="102" t="s">
        <v>116</v>
      </c>
    </row>
    <row r="11" spans="1:9" ht="14.85" customHeight="1" x14ac:dyDescent="0.2">
      <c r="A11" s="440"/>
      <c r="B11" s="445"/>
      <c r="C11" s="447" t="s">
        <v>53</v>
      </c>
      <c r="D11" s="448"/>
      <c r="E11" s="99">
        <v>48.4</v>
      </c>
      <c r="F11" s="43">
        <v>15</v>
      </c>
      <c r="G11" s="43" t="s">
        <v>84</v>
      </c>
      <c r="H11" s="43" t="s">
        <v>98</v>
      </c>
    </row>
    <row r="12" spans="1:9" ht="14.85" customHeight="1" x14ac:dyDescent="0.2">
      <c r="A12" s="440"/>
      <c r="B12" s="445"/>
      <c r="C12" s="447" t="s">
        <v>51</v>
      </c>
      <c r="D12" s="448"/>
      <c r="E12" s="99">
        <v>7</v>
      </c>
      <c r="H12" s="43" t="s">
        <v>98</v>
      </c>
    </row>
    <row r="13" spans="1:9" ht="14.85" customHeight="1" x14ac:dyDescent="0.2">
      <c r="A13" s="440"/>
      <c r="B13" s="446"/>
      <c r="C13" s="447" t="s">
        <v>52</v>
      </c>
      <c r="D13" s="448"/>
      <c r="E13" s="99">
        <v>60</v>
      </c>
      <c r="F13" s="43">
        <v>0</v>
      </c>
      <c r="G13" s="43" t="s">
        <v>83</v>
      </c>
      <c r="H13" s="43" t="s">
        <v>98</v>
      </c>
    </row>
    <row r="14" spans="1:9" ht="14.85" customHeight="1" x14ac:dyDescent="0.2">
      <c r="A14" s="440"/>
      <c r="B14" s="441" t="s">
        <v>10</v>
      </c>
      <c r="C14" s="441" t="s">
        <v>15</v>
      </c>
      <c r="D14" s="441"/>
      <c r="E14" s="99">
        <v>806.04</v>
      </c>
    </row>
    <row r="15" spans="1:9" ht="14.85" customHeight="1" x14ac:dyDescent="0.2">
      <c r="A15" s="440"/>
      <c r="B15" s="441"/>
      <c r="C15" s="449" t="s">
        <v>17</v>
      </c>
      <c r="D15" s="449"/>
      <c r="E15" s="99">
        <v>0</v>
      </c>
    </row>
    <row r="16" spans="1:9" ht="14.85" customHeight="1" x14ac:dyDescent="0.2">
      <c r="A16" s="440"/>
      <c r="B16" s="441"/>
      <c r="C16" s="449" t="s">
        <v>4</v>
      </c>
      <c r="D16" s="449"/>
      <c r="E16" s="99">
        <v>90.57</v>
      </c>
    </row>
    <row r="17" spans="1:8" ht="14.85" customHeight="1" x14ac:dyDescent="0.2">
      <c r="A17" s="440"/>
      <c r="B17" s="441"/>
      <c r="C17" s="441" t="s">
        <v>11</v>
      </c>
      <c r="D17" s="44" t="s">
        <v>15</v>
      </c>
      <c r="E17" s="99">
        <v>270.2</v>
      </c>
    </row>
    <row r="18" spans="1:8" ht="14.85" customHeight="1" x14ac:dyDescent="0.2">
      <c r="A18" s="440"/>
      <c r="B18" s="441"/>
      <c r="C18" s="441"/>
      <c r="D18" s="49" t="s">
        <v>18</v>
      </c>
      <c r="E18" s="70">
        <v>24.4</v>
      </c>
      <c r="H18" s="102" t="s">
        <v>99</v>
      </c>
    </row>
    <row r="19" spans="1:8" ht="14.85" customHeight="1" x14ac:dyDescent="0.2">
      <c r="A19" s="440"/>
      <c r="B19" s="441"/>
      <c r="C19" s="441"/>
      <c r="D19" s="52" t="s">
        <v>110</v>
      </c>
      <c r="E19" s="70">
        <v>88.9</v>
      </c>
    </row>
    <row r="20" spans="1:8" ht="14.85" customHeight="1" x14ac:dyDescent="0.2">
      <c r="A20" s="440"/>
      <c r="B20" s="441"/>
      <c r="C20" s="441"/>
      <c r="D20" s="48" t="s">
        <v>12</v>
      </c>
      <c r="E20" s="99">
        <v>156.89999999999998</v>
      </c>
    </row>
    <row r="21" spans="1:8" ht="14.85" customHeight="1" x14ac:dyDescent="0.2">
      <c r="A21" s="440"/>
      <c r="B21" s="441"/>
      <c r="C21" s="442" t="s">
        <v>9</v>
      </c>
      <c r="D21" s="442"/>
      <c r="E21" s="99">
        <f>E14-E15-E16-E17</f>
        <v>445.27000000000004</v>
      </c>
    </row>
    <row r="22" spans="1:8" ht="14.85" customHeight="1" x14ac:dyDescent="0.2">
      <c r="A22" s="440"/>
      <c r="B22" s="441" t="s">
        <v>19</v>
      </c>
      <c r="C22" s="441" t="s">
        <v>15</v>
      </c>
      <c r="D22" s="441"/>
      <c r="E22" s="99">
        <v>342.28999999999996</v>
      </c>
    </row>
    <row r="23" spans="1:8" ht="14.85" customHeight="1" x14ac:dyDescent="0.2">
      <c r="A23" s="440"/>
      <c r="B23" s="441"/>
      <c r="C23" s="449" t="s">
        <v>110</v>
      </c>
      <c r="D23" s="52" t="s">
        <v>20</v>
      </c>
      <c r="E23" s="99">
        <v>0</v>
      </c>
    </row>
    <row r="24" spans="1:8" ht="14.85" customHeight="1" x14ac:dyDescent="0.2">
      <c r="A24" s="440"/>
      <c r="B24" s="441"/>
      <c r="C24" s="449"/>
      <c r="D24" s="52" t="s">
        <v>21</v>
      </c>
      <c r="E24" s="99">
        <v>0</v>
      </c>
    </row>
    <row r="25" spans="1:8" ht="14.85" customHeight="1" x14ac:dyDescent="0.2">
      <c r="A25" s="440"/>
      <c r="B25" s="441"/>
      <c r="C25" s="442" t="s">
        <v>9</v>
      </c>
      <c r="D25" s="442"/>
      <c r="E25" s="99">
        <v>342.28999999999996</v>
      </c>
    </row>
    <row r="26" spans="1:8" ht="14.85" customHeight="1" x14ac:dyDescent="0.2">
      <c r="A26" s="440"/>
      <c r="B26" s="443" t="s">
        <v>22</v>
      </c>
      <c r="C26" s="443"/>
      <c r="D26" s="443"/>
      <c r="E26" s="99">
        <v>144.79999999999998</v>
      </c>
      <c r="H26" s="43" t="s">
        <v>98</v>
      </c>
    </row>
    <row r="27" spans="1:8" ht="14.85" customHeight="1" x14ac:dyDescent="0.2">
      <c r="A27" s="440"/>
      <c r="B27" s="441" t="s">
        <v>23</v>
      </c>
      <c r="C27" s="441" t="s">
        <v>15</v>
      </c>
      <c r="D27" s="441"/>
      <c r="E27" s="99">
        <v>10.199999999999999</v>
      </c>
    </row>
    <row r="28" spans="1:8" ht="14.85" customHeight="1" x14ac:dyDescent="0.2">
      <c r="A28" s="440"/>
      <c r="B28" s="441"/>
      <c r="C28" s="449" t="s">
        <v>2</v>
      </c>
      <c r="D28" s="449"/>
      <c r="E28" s="99">
        <v>0</v>
      </c>
    </row>
    <row r="29" spans="1:8" ht="14.85" customHeight="1" x14ac:dyDescent="0.2">
      <c r="A29" s="440"/>
      <c r="B29" s="441"/>
      <c r="C29" s="443" t="s">
        <v>9</v>
      </c>
      <c r="D29" s="443"/>
      <c r="E29" s="99">
        <v>10.199999999999999</v>
      </c>
      <c r="H29" s="102" t="s">
        <v>99</v>
      </c>
    </row>
    <row r="30" spans="1:8" ht="14.85" customHeight="1" x14ac:dyDescent="0.2">
      <c r="A30" s="440"/>
      <c r="B30" s="443" t="s">
        <v>87</v>
      </c>
      <c r="C30" s="443"/>
      <c r="D30" s="443"/>
      <c r="E30" s="99">
        <v>1853.29</v>
      </c>
      <c r="H30" s="102" t="s">
        <v>99</v>
      </c>
    </row>
    <row r="31" spans="1:8" ht="14.85" customHeight="1" x14ac:dyDescent="0.2">
      <c r="A31" s="440"/>
      <c r="B31" s="443" t="s">
        <v>25</v>
      </c>
      <c r="C31" s="443"/>
      <c r="D31" s="443"/>
      <c r="E31" s="99">
        <v>77.22999999999999</v>
      </c>
      <c r="H31" s="102" t="s">
        <v>99</v>
      </c>
    </row>
    <row r="32" spans="1:8" ht="14.85" customHeight="1" x14ac:dyDescent="0.2">
      <c r="A32" s="440"/>
      <c r="B32" s="441" t="s">
        <v>11</v>
      </c>
      <c r="C32" s="441" t="s">
        <v>15</v>
      </c>
      <c r="D32" s="441"/>
      <c r="E32" s="99">
        <v>226.38000000000002</v>
      </c>
    </row>
    <row r="33" spans="1:8" ht="14.85" customHeight="1" x14ac:dyDescent="0.2">
      <c r="A33" s="440"/>
      <c r="B33" s="441"/>
      <c r="C33" s="447" t="s">
        <v>58</v>
      </c>
      <c r="D33" s="448"/>
      <c r="E33" s="99">
        <v>226.38000000000002</v>
      </c>
      <c r="H33" s="102" t="s">
        <v>99</v>
      </c>
    </row>
    <row r="34" spans="1:8" ht="14.85" customHeight="1" x14ac:dyDescent="0.2">
      <c r="A34" s="440"/>
      <c r="B34" s="441"/>
      <c r="C34" s="441" t="s">
        <v>11</v>
      </c>
      <c r="D34" s="44" t="s">
        <v>15</v>
      </c>
      <c r="E34" s="99">
        <v>226.38000000000002</v>
      </c>
    </row>
    <row r="35" spans="1:8" ht="14.85" customHeight="1" x14ac:dyDescent="0.2">
      <c r="A35" s="440"/>
      <c r="B35" s="441"/>
      <c r="C35" s="441"/>
      <c r="D35" s="48" t="s">
        <v>12</v>
      </c>
      <c r="E35" s="99">
        <v>226.38000000000002</v>
      </c>
    </row>
    <row r="36" spans="1:8" ht="14.85" customHeight="1" x14ac:dyDescent="0.2">
      <c r="A36" s="440"/>
      <c r="B36" s="441"/>
      <c r="C36" s="441"/>
      <c r="D36" s="52" t="s">
        <v>110</v>
      </c>
      <c r="E36" s="99">
        <v>226.38000000000002</v>
      </c>
    </row>
    <row r="37" spans="1:8" ht="14.85" customHeight="1" x14ac:dyDescent="0.2">
      <c r="A37" s="440"/>
      <c r="B37" s="441"/>
      <c r="C37" s="441"/>
      <c r="D37" s="49" t="s">
        <v>18</v>
      </c>
      <c r="E37" s="99">
        <v>226.38000000000002</v>
      </c>
      <c r="H37" s="102" t="s">
        <v>99</v>
      </c>
    </row>
    <row r="38" spans="1:8" ht="14.85" customHeight="1" x14ac:dyDescent="0.2">
      <c r="A38" s="440"/>
      <c r="B38" s="441"/>
      <c r="C38" s="443" t="s">
        <v>9</v>
      </c>
      <c r="D38" s="443"/>
      <c r="E38" s="99">
        <v>226.38000000000002</v>
      </c>
      <c r="H38" s="102" t="s">
        <v>99</v>
      </c>
    </row>
    <row r="39" spans="1:8" ht="14.85" customHeight="1" x14ac:dyDescent="0.2">
      <c r="A39" s="47" t="s">
        <v>59</v>
      </c>
      <c r="B39" s="441" t="s">
        <v>60</v>
      </c>
      <c r="C39" s="441"/>
      <c r="D39" s="441"/>
      <c r="E39" s="99">
        <v>226.38000000000002</v>
      </c>
    </row>
    <row r="40" spans="1:8" ht="14.85" customHeight="1" x14ac:dyDescent="0.2">
      <c r="A40" s="54"/>
      <c r="E40" s="99">
        <v>226.38000000000002</v>
      </c>
    </row>
    <row r="41" spans="1:8" ht="14.85" customHeight="1" x14ac:dyDescent="0.2">
      <c r="E41" s="99">
        <v>226.38000000000002</v>
      </c>
    </row>
  </sheetData>
  <mergeCells count="39">
    <mergeCell ref="E5:F5"/>
    <mergeCell ref="B27:B29"/>
    <mergeCell ref="C27:D27"/>
    <mergeCell ref="C17:C20"/>
    <mergeCell ref="C21:D21"/>
    <mergeCell ref="C8:D8"/>
    <mergeCell ref="C9:D9"/>
    <mergeCell ref="B10:B13"/>
    <mergeCell ref="C10:D10"/>
    <mergeCell ref="C11:D11"/>
    <mergeCell ref="C12:D12"/>
    <mergeCell ref="C13:D13"/>
    <mergeCell ref="A7:A38"/>
    <mergeCell ref="B7:B9"/>
    <mergeCell ref="C7:D7"/>
    <mergeCell ref="B39:D39"/>
    <mergeCell ref="C28:D28"/>
    <mergeCell ref="C29:D29"/>
    <mergeCell ref="B14:B21"/>
    <mergeCell ref="C14:D14"/>
    <mergeCell ref="C15:D15"/>
    <mergeCell ref="C16:D16"/>
    <mergeCell ref="B22:B25"/>
    <mergeCell ref="C22:D22"/>
    <mergeCell ref="C23:C24"/>
    <mergeCell ref="C25:D25"/>
    <mergeCell ref="B26:D26"/>
    <mergeCell ref="B30:D30"/>
    <mergeCell ref="B31:D31"/>
    <mergeCell ref="B32:B38"/>
    <mergeCell ref="C32:D32"/>
    <mergeCell ref="C33:D33"/>
    <mergeCell ref="C34:C37"/>
    <mergeCell ref="C38:D38"/>
    <mergeCell ref="G2:G3"/>
    <mergeCell ref="H2:H3"/>
    <mergeCell ref="I2:I3"/>
    <mergeCell ref="E4:F4"/>
    <mergeCell ref="A1:I1"/>
  </mergeCells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99A3-E77A-AE41-8962-C6355B1FDB04}">
  <sheetPr codeName="Sheet13"/>
  <dimension ref="A1:J40"/>
  <sheetViews>
    <sheetView workbookViewId="0">
      <selection activeCell="F17" sqref="F17"/>
    </sheetView>
  </sheetViews>
  <sheetFormatPr defaultColWidth="8.75" defaultRowHeight="14.85" customHeight="1" x14ac:dyDescent="0.2"/>
  <cols>
    <col min="1" max="1" width="10.75" style="43" customWidth="1"/>
    <col min="2" max="2" width="15.75" style="43" customWidth="1"/>
    <col min="3" max="3" width="10.75" style="43" customWidth="1"/>
    <col min="4" max="4" width="13.5" style="43" customWidth="1"/>
    <col min="5" max="5" width="13.375" style="43" customWidth="1"/>
    <col min="6" max="6" width="15.25" style="43" customWidth="1"/>
    <col min="7" max="7" width="8.125" style="43" customWidth="1"/>
    <col min="8" max="8" width="11.125" style="43" customWidth="1"/>
    <col min="9" max="9" width="11" style="43" customWidth="1"/>
    <col min="10" max="10" width="9.375" style="43" customWidth="1"/>
    <col min="11" max="11" width="8.75" style="43"/>
    <col min="12" max="12" width="11.375" style="43" customWidth="1"/>
    <col min="13" max="13" width="8.125" style="43" customWidth="1"/>
    <col min="14" max="16384" width="8.75" style="43"/>
  </cols>
  <sheetData>
    <row r="1" spans="1:10" ht="23.85" customHeight="1" x14ac:dyDescent="0.2">
      <c r="A1" s="439" t="s">
        <v>55</v>
      </c>
      <c r="B1" s="439"/>
      <c r="C1" s="439"/>
      <c r="D1" s="439"/>
      <c r="E1" s="439"/>
      <c r="F1" s="439"/>
      <c r="G1" s="439"/>
      <c r="H1" s="439"/>
      <c r="I1" s="471"/>
    </row>
    <row r="2" spans="1:10" ht="14.85" customHeight="1" thickBot="1" x14ac:dyDescent="0.25">
      <c r="A2" s="48" t="s">
        <v>5</v>
      </c>
      <c r="B2" s="57">
        <v>6426.06</v>
      </c>
      <c r="C2" s="49" t="s">
        <v>29</v>
      </c>
      <c r="D2" s="49">
        <v>13144.34</v>
      </c>
      <c r="E2" s="44" t="s">
        <v>61</v>
      </c>
      <c r="F2" s="45">
        <v>17070.07</v>
      </c>
      <c r="G2" s="465" t="s">
        <v>57</v>
      </c>
      <c r="H2" s="467">
        <f>F3/F2/30*365*100</f>
        <v>6.4738945612603418</v>
      </c>
      <c r="I2" s="469" t="s">
        <v>62</v>
      </c>
    </row>
    <row r="3" spans="1:10" ht="14.85" customHeight="1" x14ac:dyDescent="0.2">
      <c r="A3" s="176" t="s">
        <v>198</v>
      </c>
      <c r="B3" s="177">
        <v>131.51</v>
      </c>
      <c r="C3" s="178" t="s">
        <v>88</v>
      </c>
      <c r="D3" s="179">
        <v>4196.97</v>
      </c>
      <c r="E3" s="58" t="s">
        <v>56</v>
      </c>
      <c r="F3" s="44">
        <f>E39-E33</f>
        <v>90.829999999999984</v>
      </c>
      <c r="G3" s="466"/>
      <c r="H3" s="468"/>
      <c r="I3" s="470"/>
    </row>
    <row r="4" spans="1:10" ht="14.85" customHeight="1" x14ac:dyDescent="0.2">
      <c r="A4" s="180" t="s">
        <v>138</v>
      </c>
      <c r="B4" s="175">
        <v>1325.85</v>
      </c>
      <c r="C4" s="174" t="s">
        <v>197</v>
      </c>
      <c r="D4" s="181">
        <v>55.16</v>
      </c>
      <c r="E4" s="441"/>
      <c r="F4" s="441"/>
      <c r="G4" s="44"/>
      <c r="H4" s="44"/>
      <c r="I4" s="56"/>
    </row>
    <row r="5" spans="1:10" ht="14.85" customHeight="1" thickBot="1" x14ac:dyDescent="0.25">
      <c r="A5" s="182" t="s">
        <v>131</v>
      </c>
      <c r="B5" s="183">
        <v>1191.31</v>
      </c>
      <c r="C5" s="184" t="s">
        <v>196</v>
      </c>
      <c r="D5" s="185">
        <v>6243.54</v>
      </c>
      <c r="I5" s="55"/>
    </row>
    <row r="6" spans="1:10" ht="14.85" customHeight="1" x14ac:dyDescent="0.2">
      <c r="A6" s="1"/>
      <c r="B6" s="64"/>
      <c r="C6" s="1"/>
      <c r="D6" s="88"/>
      <c r="I6" s="55"/>
    </row>
    <row r="7" spans="1:10" ht="14.85" customHeight="1" x14ac:dyDescent="0.2">
      <c r="A7" s="440" t="s">
        <v>14</v>
      </c>
      <c r="B7" s="441" t="s">
        <v>13</v>
      </c>
      <c r="C7" s="441" t="s">
        <v>15</v>
      </c>
      <c r="D7" s="441"/>
      <c r="E7" s="45">
        <v>661.34</v>
      </c>
    </row>
    <row r="8" spans="1:10" ht="14.85" customHeight="1" x14ac:dyDescent="0.2">
      <c r="A8" s="440"/>
      <c r="B8" s="441"/>
      <c r="C8" s="442" t="s">
        <v>63</v>
      </c>
      <c r="D8" s="442"/>
      <c r="E8" s="45">
        <v>6.99</v>
      </c>
    </row>
    <row r="9" spans="1:10" ht="14.85" customHeight="1" x14ac:dyDescent="0.2">
      <c r="A9" s="440"/>
      <c r="B9" s="441"/>
      <c r="C9" s="443" t="s">
        <v>9</v>
      </c>
      <c r="D9" s="443"/>
      <c r="E9" s="50">
        <f>E7-E8</f>
        <v>654.35</v>
      </c>
    </row>
    <row r="10" spans="1:10" ht="14.85" customHeight="1" x14ac:dyDescent="0.2">
      <c r="A10" s="440"/>
      <c r="B10" s="444" t="s">
        <v>16</v>
      </c>
      <c r="C10" s="447" t="s">
        <v>15</v>
      </c>
      <c r="D10" s="448"/>
      <c r="E10" s="45">
        <v>270.08</v>
      </c>
    </row>
    <row r="11" spans="1:10" ht="14.85" customHeight="1" x14ac:dyDescent="0.2">
      <c r="A11" s="440"/>
      <c r="B11" s="445"/>
      <c r="C11" s="447" t="s">
        <v>53</v>
      </c>
      <c r="D11" s="448"/>
      <c r="E11" s="45">
        <v>31.02</v>
      </c>
      <c r="F11" s="43">
        <f>3+4+3+3</f>
        <v>13</v>
      </c>
      <c r="G11" s="43" t="s">
        <v>84</v>
      </c>
    </row>
    <row r="12" spans="1:10" ht="14.85" customHeight="1" x14ac:dyDescent="0.2">
      <c r="A12" s="440"/>
      <c r="B12" s="445"/>
      <c r="C12" s="447" t="s">
        <v>51</v>
      </c>
      <c r="D12" s="448"/>
      <c r="E12" s="51">
        <v>7.5</v>
      </c>
    </row>
    <row r="13" spans="1:10" ht="14.85" customHeight="1" x14ac:dyDescent="0.2">
      <c r="A13" s="440"/>
      <c r="B13" s="446"/>
      <c r="C13" s="447" t="s">
        <v>52</v>
      </c>
      <c r="D13" s="448"/>
      <c r="E13" s="51">
        <v>34.69</v>
      </c>
      <c r="F13" s="43">
        <v>9.9</v>
      </c>
      <c r="G13" s="43" t="s">
        <v>83</v>
      </c>
    </row>
    <row r="14" spans="1:10" ht="14.85" customHeight="1" x14ac:dyDescent="0.2">
      <c r="A14" s="440"/>
      <c r="B14" s="441" t="s">
        <v>10</v>
      </c>
      <c r="C14" s="441" t="s">
        <v>15</v>
      </c>
      <c r="D14" s="441"/>
      <c r="E14" s="45">
        <v>4158.6499999999996</v>
      </c>
    </row>
    <row r="15" spans="1:10" ht="14.85" customHeight="1" x14ac:dyDescent="0.2">
      <c r="A15" s="440"/>
      <c r="B15" s="441"/>
      <c r="C15" s="449" t="s">
        <v>17</v>
      </c>
      <c r="D15" s="449"/>
      <c r="E15" s="45">
        <v>29.61</v>
      </c>
      <c r="J15" s="33"/>
    </row>
    <row r="16" spans="1:10" ht="14.85" customHeight="1" x14ac:dyDescent="0.2">
      <c r="A16" s="440"/>
      <c r="B16" s="441"/>
      <c r="C16" s="449" t="s">
        <v>4</v>
      </c>
      <c r="D16" s="449"/>
      <c r="E16" s="45">
        <v>1656.69</v>
      </c>
    </row>
    <row r="17" spans="1:10" ht="14.85" customHeight="1" x14ac:dyDescent="0.2">
      <c r="A17" s="440"/>
      <c r="B17" s="441"/>
      <c r="C17" s="441" t="s">
        <v>11</v>
      </c>
      <c r="D17" s="44" t="s">
        <v>15</v>
      </c>
      <c r="E17" s="45">
        <v>183</v>
      </c>
    </row>
    <row r="18" spans="1:10" ht="14.85" customHeight="1" x14ac:dyDescent="0.2">
      <c r="A18" s="440"/>
      <c r="B18" s="441"/>
      <c r="C18" s="441"/>
      <c r="D18" s="49" t="s">
        <v>18</v>
      </c>
      <c r="E18" s="45">
        <f>SUM(F18:X18)</f>
        <v>2.21</v>
      </c>
      <c r="F18" s="43">
        <v>0.1</v>
      </c>
      <c r="G18" s="43">
        <v>0.22</v>
      </c>
      <c r="H18" s="43">
        <v>1.89</v>
      </c>
    </row>
    <row r="19" spans="1:10" ht="14.85" customHeight="1" x14ac:dyDescent="0.2">
      <c r="A19" s="440"/>
      <c r="B19" s="441"/>
      <c r="C19" s="441"/>
      <c r="D19" s="52" t="s">
        <v>3</v>
      </c>
      <c r="E19" s="45">
        <f>SUM(F19:X19)</f>
        <v>155.32999999999998</v>
      </c>
      <c r="F19" s="43">
        <v>1</v>
      </c>
      <c r="G19" s="43">
        <v>1</v>
      </c>
      <c r="H19" s="43">
        <v>7.0000000000000007E-2</v>
      </c>
      <c r="I19" s="43">
        <v>0.5</v>
      </c>
      <c r="J19" s="43">
        <v>152.76</v>
      </c>
    </row>
    <row r="20" spans="1:10" ht="14.85" customHeight="1" x14ac:dyDescent="0.2">
      <c r="A20" s="440"/>
      <c r="B20" s="441"/>
      <c r="C20" s="441"/>
      <c r="D20" s="48" t="s">
        <v>12</v>
      </c>
      <c r="E20" s="53">
        <f>E17-E18-E19</f>
        <v>25.460000000000008</v>
      </c>
    </row>
    <row r="21" spans="1:10" ht="14.85" customHeight="1" x14ac:dyDescent="0.2">
      <c r="A21" s="440"/>
      <c r="B21" s="441"/>
      <c r="C21" s="442" t="s">
        <v>9</v>
      </c>
      <c r="D21" s="442"/>
      <c r="E21" s="50">
        <f>E14-SUM(E15:E17)</f>
        <v>2289.3499999999995</v>
      </c>
    </row>
    <row r="22" spans="1:10" ht="14.85" customHeight="1" x14ac:dyDescent="0.2">
      <c r="A22" s="440"/>
      <c r="B22" s="441" t="s">
        <v>19</v>
      </c>
      <c r="C22" s="441" t="s">
        <v>15</v>
      </c>
      <c r="D22" s="441"/>
      <c r="E22" s="45">
        <v>2650.31</v>
      </c>
    </row>
    <row r="23" spans="1:10" ht="14.85" customHeight="1" x14ac:dyDescent="0.2">
      <c r="A23" s="440"/>
      <c r="B23" s="441"/>
      <c r="C23" s="449" t="s">
        <v>3</v>
      </c>
      <c r="D23" s="52" t="s">
        <v>20</v>
      </c>
      <c r="E23" s="45">
        <v>0</v>
      </c>
    </row>
    <row r="24" spans="1:10" ht="14.85" customHeight="1" x14ac:dyDescent="0.2">
      <c r="A24" s="440"/>
      <c r="B24" s="441"/>
      <c r="C24" s="449"/>
      <c r="D24" s="52" t="s">
        <v>21</v>
      </c>
      <c r="E24" s="45">
        <v>2513.31</v>
      </c>
    </row>
    <row r="25" spans="1:10" ht="14.85" customHeight="1" x14ac:dyDescent="0.2">
      <c r="A25" s="440"/>
      <c r="B25" s="441"/>
      <c r="C25" s="442" t="s">
        <v>9</v>
      </c>
      <c r="D25" s="442"/>
      <c r="E25" s="50">
        <f>E22-E23-E24</f>
        <v>137</v>
      </c>
    </row>
    <row r="26" spans="1:10" ht="14.85" customHeight="1" x14ac:dyDescent="0.2">
      <c r="A26" s="440"/>
      <c r="B26" s="443" t="s">
        <v>22</v>
      </c>
      <c r="C26" s="443"/>
      <c r="D26" s="443"/>
      <c r="E26" s="45">
        <v>154.46</v>
      </c>
    </row>
    <row r="27" spans="1:10" ht="14.85" customHeight="1" x14ac:dyDescent="0.2">
      <c r="A27" s="440"/>
      <c r="B27" s="441" t="s">
        <v>23</v>
      </c>
      <c r="C27" s="441" t="s">
        <v>15</v>
      </c>
      <c r="D27" s="441"/>
      <c r="E27" s="45">
        <v>35.200000000000003</v>
      </c>
    </row>
    <row r="28" spans="1:10" ht="14.85" customHeight="1" x14ac:dyDescent="0.2">
      <c r="A28" s="440"/>
      <c r="B28" s="441"/>
      <c r="C28" s="449" t="s">
        <v>2</v>
      </c>
      <c r="D28" s="449"/>
      <c r="E28" s="45">
        <v>30</v>
      </c>
    </row>
    <row r="29" spans="1:10" ht="14.85" customHeight="1" x14ac:dyDescent="0.2">
      <c r="A29" s="440"/>
      <c r="B29" s="441"/>
      <c r="C29" s="443" t="s">
        <v>9</v>
      </c>
      <c r="D29" s="443"/>
      <c r="E29" s="50">
        <f>E27-E28</f>
        <v>5.2000000000000028</v>
      </c>
    </row>
    <row r="30" spans="1:10" ht="14.85" customHeight="1" x14ac:dyDescent="0.2">
      <c r="A30" s="440"/>
      <c r="B30" s="443" t="s">
        <v>24</v>
      </c>
      <c r="C30" s="443"/>
      <c r="D30" s="443"/>
      <c r="E30" s="45">
        <v>659.48</v>
      </c>
    </row>
    <row r="31" spans="1:10" ht="14.85" customHeight="1" x14ac:dyDescent="0.2">
      <c r="A31" s="440"/>
      <c r="B31" s="443" t="s">
        <v>25</v>
      </c>
      <c r="C31" s="443"/>
      <c r="D31" s="443"/>
      <c r="E31" s="45">
        <v>0</v>
      </c>
    </row>
    <row r="32" spans="1:10" ht="14.85" customHeight="1" x14ac:dyDescent="0.2">
      <c r="A32" s="440"/>
      <c r="B32" s="441" t="s">
        <v>11</v>
      </c>
      <c r="C32" s="441" t="s">
        <v>15</v>
      </c>
      <c r="D32" s="441"/>
      <c r="E32" s="45">
        <v>715.56</v>
      </c>
    </row>
    <row r="33" spans="1:5" ht="14.85" customHeight="1" x14ac:dyDescent="0.2">
      <c r="A33" s="440"/>
      <c r="B33" s="441"/>
      <c r="C33" s="447" t="s">
        <v>58</v>
      </c>
      <c r="D33" s="448"/>
      <c r="E33" s="45">
        <v>33.49</v>
      </c>
    </row>
    <row r="34" spans="1:5" ht="14.85" customHeight="1" x14ac:dyDescent="0.2">
      <c r="A34" s="440"/>
      <c r="B34" s="441"/>
      <c r="C34" s="441" t="s">
        <v>11</v>
      </c>
      <c r="D34" s="44" t="s">
        <v>15</v>
      </c>
      <c r="E34" s="45">
        <v>0</v>
      </c>
    </row>
    <row r="35" spans="1:5" ht="14.85" customHeight="1" x14ac:dyDescent="0.2">
      <c r="A35" s="440"/>
      <c r="B35" s="441"/>
      <c r="C35" s="441"/>
      <c r="D35" s="48" t="s">
        <v>12</v>
      </c>
      <c r="E35" s="45">
        <v>0</v>
      </c>
    </row>
    <row r="36" spans="1:5" ht="14.85" customHeight="1" x14ac:dyDescent="0.2">
      <c r="A36" s="440"/>
      <c r="B36" s="441"/>
      <c r="C36" s="441"/>
      <c r="D36" s="52" t="s">
        <v>3</v>
      </c>
      <c r="E36" s="45">
        <v>0</v>
      </c>
    </row>
    <row r="37" spans="1:5" ht="14.85" customHeight="1" x14ac:dyDescent="0.2">
      <c r="A37" s="440"/>
      <c r="B37" s="441"/>
      <c r="C37" s="441"/>
      <c r="D37" s="49" t="s">
        <v>18</v>
      </c>
      <c r="E37" s="45">
        <f>E34-E35-E36</f>
        <v>0</v>
      </c>
    </row>
    <row r="38" spans="1:5" ht="14.85" customHeight="1" x14ac:dyDescent="0.2">
      <c r="A38" s="440"/>
      <c r="B38" s="441"/>
      <c r="C38" s="443" t="s">
        <v>9</v>
      </c>
      <c r="D38" s="443"/>
      <c r="E38" s="44">
        <f>E32-E34-E33</f>
        <v>682.06999999999994</v>
      </c>
    </row>
    <row r="39" spans="1:5" ht="14.85" customHeight="1" x14ac:dyDescent="0.2">
      <c r="A39" s="47" t="s">
        <v>59</v>
      </c>
      <c r="B39" s="441" t="s">
        <v>60</v>
      </c>
      <c r="C39" s="441"/>
      <c r="D39" s="441"/>
      <c r="E39" s="45">
        <v>124.32</v>
      </c>
    </row>
    <row r="40" spans="1:5" ht="14.85" customHeight="1" x14ac:dyDescent="0.2">
      <c r="A40" s="54"/>
    </row>
  </sheetData>
  <mergeCells count="38">
    <mergeCell ref="B26:D26"/>
    <mergeCell ref="C15:D15"/>
    <mergeCell ref="C16:D16"/>
    <mergeCell ref="C17:C20"/>
    <mergeCell ref="C21:D21"/>
    <mergeCell ref="B22:B25"/>
    <mergeCell ref="C22:D22"/>
    <mergeCell ref="C23:C24"/>
    <mergeCell ref="C25:D25"/>
    <mergeCell ref="B39:D39"/>
    <mergeCell ref="B30:D30"/>
    <mergeCell ref="B31:D31"/>
    <mergeCell ref="B32:B38"/>
    <mergeCell ref="C32:D32"/>
    <mergeCell ref="C34:C37"/>
    <mergeCell ref="C38:D38"/>
    <mergeCell ref="C33:D33"/>
    <mergeCell ref="A7:A38"/>
    <mergeCell ref="B7:B9"/>
    <mergeCell ref="C7:D7"/>
    <mergeCell ref="C8:D8"/>
    <mergeCell ref="C9:D9"/>
    <mergeCell ref="B10:B13"/>
    <mergeCell ref="C10:D10"/>
    <mergeCell ref="C11:D11"/>
    <mergeCell ref="C12:D12"/>
    <mergeCell ref="B27:B29"/>
    <mergeCell ref="C27:D27"/>
    <mergeCell ref="C28:D28"/>
    <mergeCell ref="C29:D29"/>
    <mergeCell ref="C13:D13"/>
    <mergeCell ref="B14:B21"/>
    <mergeCell ref="C14:D14"/>
    <mergeCell ref="A1:I1"/>
    <mergeCell ref="E4:F4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E3A56-1E46-4536-B01F-5B3DBD92C97D}">
  <sheetPr codeName="Sheet14"/>
  <dimension ref="A1:J40"/>
  <sheetViews>
    <sheetView workbookViewId="0">
      <selection activeCell="F17" sqref="F17"/>
    </sheetView>
  </sheetViews>
  <sheetFormatPr defaultColWidth="8.75" defaultRowHeight="14.25" x14ac:dyDescent="0.2"/>
  <cols>
    <col min="1" max="1" width="10.75" style="1" customWidth="1"/>
    <col min="2" max="2" width="15.75" style="1" customWidth="1"/>
    <col min="3" max="3" width="9.75" style="1" customWidth="1"/>
    <col min="4" max="4" width="11.375" style="1" customWidth="1"/>
    <col min="5" max="5" width="10" style="1" customWidth="1"/>
    <col min="6" max="7" width="8.75" style="1"/>
    <col min="8" max="8" width="10.375" style="1" customWidth="1"/>
    <col min="9" max="9" width="8.75" style="1" customWidth="1"/>
    <col min="10" max="10" width="9.375" style="1" customWidth="1"/>
    <col min="11" max="16384" width="8.75" style="1"/>
  </cols>
  <sheetData>
    <row r="1" spans="1:10" ht="20.25" x14ac:dyDescent="0.2">
      <c r="A1" s="472" t="s">
        <v>50</v>
      </c>
      <c r="B1" s="472"/>
      <c r="C1" s="472"/>
      <c r="D1" s="472"/>
      <c r="E1" s="472"/>
      <c r="F1" s="472"/>
      <c r="G1" s="472"/>
      <c r="H1" s="472"/>
    </row>
    <row r="2" spans="1:10" ht="15" thickBot="1" x14ac:dyDescent="0.25">
      <c r="A2" s="48" t="s">
        <v>5</v>
      </c>
      <c r="B2" s="42">
        <v>6620.77</v>
      </c>
      <c r="C2" s="49" t="s">
        <v>29</v>
      </c>
      <c r="D2" s="49">
        <v>6747.77</v>
      </c>
      <c r="E2" s="44" t="s">
        <v>61</v>
      </c>
      <c r="F2" s="45">
        <v>17335.04</v>
      </c>
      <c r="G2" s="465" t="s">
        <v>57</v>
      </c>
      <c r="H2" s="467">
        <f>F3/F2/30*365*100</f>
        <v>0.45199395751802901</v>
      </c>
      <c r="I2" s="469" t="s">
        <v>62</v>
      </c>
      <c r="J2"/>
    </row>
    <row r="3" spans="1:10" x14ac:dyDescent="0.2">
      <c r="A3" s="176" t="s">
        <v>198</v>
      </c>
      <c r="B3" s="177">
        <v>101.59</v>
      </c>
      <c r="C3" s="178" t="s">
        <v>88</v>
      </c>
      <c r="D3" s="179">
        <v>1339.23</v>
      </c>
      <c r="E3" s="58" t="s">
        <v>56</v>
      </c>
      <c r="F3" s="44">
        <f>E39-E33</f>
        <v>6.4400000000000013</v>
      </c>
      <c r="G3" s="466"/>
      <c r="H3" s="468"/>
      <c r="I3" s="470"/>
    </row>
    <row r="4" spans="1:10" ht="14.1" customHeight="1" x14ac:dyDescent="0.2">
      <c r="A4" s="180" t="s">
        <v>138</v>
      </c>
      <c r="B4" s="175">
        <v>694.66</v>
      </c>
      <c r="C4" s="174" t="s">
        <v>197</v>
      </c>
      <c r="D4" s="181">
        <v>83.51</v>
      </c>
      <c r="E4" s="441"/>
      <c r="F4" s="441"/>
      <c r="G4" s="44"/>
      <c r="H4" s="44"/>
      <c r="I4" s="56"/>
    </row>
    <row r="5" spans="1:10" ht="14.1" customHeight="1" thickBot="1" x14ac:dyDescent="0.25">
      <c r="A5" s="182" t="s">
        <v>131</v>
      </c>
      <c r="B5" s="183">
        <v>1476.5</v>
      </c>
      <c r="C5" s="184" t="s">
        <v>196</v>
      </c>
      <c r="D5" s="185">
        <v>3052.28</v>
      </c>
      <c r="E5" s="43"/>
      <c r="F5" s="43"/>
      <c r="G5" s="43"/>
      <c r="H5" s="43"/>
      <c r="I5" s="55"/>
    </row>
    <row r="6" spans="1:10" ht="14.1" customHeight="1" x14ac:dyDescent="0.2">
      <c r="B6" s="64"/>
      <c r="D6" s="88"/>
      <c r="E6" s="43"/>
      <c r="F6" s="43"/>
      <c r="G6" s="43"/>
      <c r="H6" s="43"/>
      <c r="I6" s="55"/>
    </row>
    <row r="7" spans="1:10" x14ac:dyDescent="0.2">
      <c r="A7" s="473" t="s">
        <v>14</v>
      </c>
      <c r="B7" s="465" t="s">
        <v>13</v>
      </c>
      <c r="C7" s="476" t="s">
        <v>15</v>
      </c>
      <c r="D7" s="477"/>
      <c r="E7" s="45">
        <v>716.24</v>
      </c>
    </row>
    <row r="8" spans="1:10" x14ac:dyDescent="0.2">
      <c r="A8" s="474"/>
      <c r="B8" s="482"/>
      <c r="C8" s="478" t="s">
        <v>63</v>
      </c>
      <c r="D8" s="479"/>
      <c r="E8" s="45">
        <v>30.84</v>
      </c>
    </row>
    <row r="9" spans="1:10" x14ac:dyDescent="0.2">
      <c r="A9" s="474"/>
      <c r="B9" s="466"/>
      <c r="C9" s="447" t="s">
        <v>9</v>
      </c>
      <c r="D9" s="448"/>
      <c r="E9" s="50">
        <f>E7-E8</f>
        <v>685.4</v>
      </c>
    </row>
    <row r="10" spans="1:10" x14ac:dyDescent="0.2">
      <c r="A10" s="474"/>
      <c r="B10" s="444" t="s">
        <v>16</v>
      </c>
      <c r="C10" s="447" t="s">
        <v>15</v>
      </c>
      <c r="D10" s="448"/>
      <c r="E10" s="45">
        <v>1078.6099999999999</v>
      </c>
    </row>
    <row r="11" spans="1:10" x14ac:dyDescent="0.2">
      <c r="A11" s="474"/>
      <c r="B11" s="445"/>
      <c r="C11" s="447" t="s">
        <v>53</v>
      </c>
      <c r="D11" s="448"/>
      <c r="E11" s="45">
        <v>38.5</v>
      </c>
      <c r="F11" s="43">
        <f>3+3+4+3+3</f>
        <v>16</v>
      </c>
      <c r="G11" s="43" t="s">
        <v>84</v>
      </c>
    </row>
    <row r="12" spans="1:10" x14ac:dyDescent="0.2">
      <c r="A12" s="474"/>
      <c r="B12" s="445"/>
      <c r="C12" s="447" t="s">
        <v>51</v>
      </c>
      <c r="D12" s="448"/>
      <c r="E12" s="51">
        <v>1.01</v>
      </c>
      <c r="F12" s="43"/>
      <c r="G12" s="43"/>
    </row>
    <row r="13" spans="1:10" x14ac:dyDescent="0.2">
      <c r="A13" s="474"/>
      <c r="B13" s="446"/>
      <c r="C13" s="447" t="s">
        <v>52</v>
      </c>
      <c r="D13" s="448"/>
      <c r="E13" s="51">
        <v>37.200000000000003</v>
      </c>
      <c r="F13" s="43">
        <f>37.2-18.96-5.7</f>
        <v>12.540000000000003</v>
      </c>
      <c r="G13" s="43" t="s">
        <v>83</v>
      </c>
    </row>
    <row r="14" spans="1:10" x14ac:dyDescent="0.2">
      <c r="A14" s="474"/>
      <c r="B14" s="465" t="s">
        <v>10</v>
      </c>
      <c r="C14" s="476" t="s">
        <v>15</v>
      </c>
      <c r="D14" s="477"/>
      <c r="E14" s="45">
        <v>1945.15</v>
      </c>
    </row>
    <row r="15" spans="1:10" x14ac:dyDescent="0.2">
      <c r="A15" s="474"/>
      <c r="B15" s="482"/>
      <c r="C15" s="480" t="s">
        <v>17</v>
      </c>
      <c r="D15" s="481"/>
      <c r="E15" s="45">
        <v>441.43</v>
      </c>
    </row>
    <row r="16" spans="1:10" x14ac:dyDescent="0.2">
      <c r="A16" s="474"/>
      <c r="B16" s="482"/>
      <c r="C16" s="480" t="s">
        <v>4</v>
      </c>
      <c r="D16" s="481"/>
      <c r="E16" s="45">
        <v>189</v>
      </c>
      <c r="J16" s="16"/>
    </row>
    <row r="17" spans="1:10" x14ac:dyDescent="0.2">
      <c r="A17" s="474"/>
      <c r="B17" s="482"/>
      <c r="C17" s="465" t="s">
        <v>11</v>
      </c>
      <c r="D17" s="44" t="s">
        <v>15</v>
      </c>
      <c r="E17" s="45">
        <v>200.9</v>
      </c>
    </row>
    <row r="18" spans="1:10" x14ac:dyDescent="0.2">
      <c r="A18" s="474"/>
      <c r="B18" s="482"/>
      <c r="C18" s="482"/>
      <c r="D18" s="49" t="s">
        <v>18</v>
      </c>
      <c r="E18" s="45">
        <f>SUM(F18:X18)</f>
        <v>26.700000000000003</v>
      </c>
      <c r="F18" s="1">
        <v>5.9</v>
      </c>
      <c r="G18" s="1">
        <v>20.8</v>
      </c>
    </row>
    <row r="19" spans="1:10" x14ac:dyDescent="0.2">
      <c r="A19" s="474"/>
      <c r="B19" s="482"/>
      <c r="C19" s="482"/>
      <c r="D19" s="52" t="s">
        <v>3</v>
      </c>
      <c r="E19" s="45">
        <f>SUM(F19:X19)</f>
        <v>129.9</v>
      </c>
      <c r="F19" s="1">
        <v>50.1</v>
      </c>
      <c r="G19" s="1">
        <v>63.51</v>
      </c>
      <c r="H19" s="1">
        <v>5.21</v>
      </c>
      <c r="I19" s="1">
        <v>4.8899999999999997</v>
      </c>
      <c r="J19" s="1">
        <v>6.19</v>
      </c>
    </row>
    <row r="20" spans="1:10" x14ac:dyDescent="0.2">
      <c r="A20" s="474"/>
      <c r="B20" s="482"/>
      <c r="C20" s="466"/>
      <c r="D20" s="48" t="s">
        <v>12</v>
      </c>
      <c r="E20" s="53">
        <f>E17-E18-E19</f>
        <v>44.299999999999983</v>
      </c>
    </row>
    <row r="21" spans="1:10" x14ac:dyDescent="0.2">
      <c r="A21" s="474"/>
      <c r="B21" s="466"/>
      <c r="C21" s="478" t="s">
        <v>9</v>
      </c>
      <c r="D21" s="479"/>
      <c r="E21" s="50">
        <f>E14-SUM(E15:E17)</f>
        <v>1113.8200000000002</v>
      </c>
    </row>
    <row r="22" spans="1:10" x14ac:dyDescent="0.2">
      <c r="A22" s="474"/>
      <c r="B22" s="465" t="s">
        <v>19</v>
      </c>
      <c r="C22" s="476" t="s">
        <v>15</v>
      </c>
      <c r="D22" s="477"/>
      <c r="E22" s="45">
        <v>380</v>
      </c>
    </row>
    <row r="23" spans="1:10" x14ac:dyDescent="0.2">
      <c r="A23" s="474"/>
      <c r="B23" s="482"/>
      <c r="C23" s="484" t="s">
        <v>3</v>
      </c>
      <c r="D23" s="52" t="s">
        <v>20</v>
      </c>
      <c r="E23" s="45">
        <v>380</v>
      </c>
    </row>
    <row r="24" spans="1:10" x14ac:dyDescent="0.2">
      <c r="A24" s="474"/>
      <c r="B24" s="482"/>
      <c r="C24" s="485"/>
      <c r="D24" s="52" t="s">
        <v>21</v>
      </c>
      <c r="E24" s="45">
        <v>0</v>
      </c>
    </row>
    <row r="25" spans="1:10" x14ac:dyDescent="0.2">
      <c r="A25" s="474"/>
      <c r="B25" s="466"/>
      <c r="C25" s="478" t="s">
        <v>9</v>
      </c>
      <c r="D25" s="479"/>
      <c r="E25" s="50">
        <f>E22-E23-E24</f>
        <v>0</v>
      </c>
    </row>
    <row r="26" spans="1:10" x14ac:dyDescent="0.2">
      <c r="A26" s="474"/>
      <c r="B26" s="447" t="s">
        <v>22</v>
      </c>
      <c r="C26" s="483"/>
      <c r="D26" s="448"/>
      <c r="E26" s="45">
        <v>125.96</v>
      </c>
    </row>
    <row r="27" spans="1:10" x14ac:dyDescent="0.2">
      <c r="A27" s="474"/>
      <c r="B27" s="465" t="s">
        <v>23</v>
      </c>
      <c r="C27" s="476" t="s">
        <v>15</v>
      </c>
      <c r="D27" s="477"/>
      <c r="E27" s="45">
        <v>41.2</v>
      </c>
    </row>
    <row r="28" spans="1:10" x14ac:dyDescent="0.2">
      <c r="A28" s="474"/>
      <c r="B28" s="482"/>
      <c r="C28" s="480" t="s">
        <v>2</v>
      </c>
      <c r="D28" s="481"/>
      <c r="E28" s="45">
        <v>30</v>
      </c>
    </row>
    <row r="29" spans="1:10" x14ac:dyDescent="0.2">
      <c r="A29" s="474"/>
      <c r="B29" s="466"/>
      <c r="C29" s="447" t="s">
        <v>9</v>
      </c>
      <c r="D29" s="448"/>
      <c r="E29" s="50">
        <f>E27-E28</f>
        <v>11.200000000000003</v>
      </c>
    </row>
    <row r="30" spans="1:10" x14ac:dyDescent="0.2">
      <c r="A30" s="474"/>
      <c r="B30" s="447" t="s">
        <v>24</v>
      </c>
      <c r="C30" s="483"/>
      <c r="D30" s="448"/>
      <c r="E30" s="45">
        <v>171.27</v>
      </c>
    </row>
    <row r="31" spans="1:10" x14ac:dyDescent="0.2">
      <c r="A31" s="474"/>
      <c r="B31" s="447" t="s">
        <v>25</v>
      </c>
      <c r="C31" s="483"/>
      <c r="D31" s="448"/>
      <c r="E31" s="45">
        <v>103.49</v>
      </c>
    </row>
    <row r="32" spans="1:10" x14ac:dyDescent="0.2">
      <c r="A32" s="474"/>
      <c r="B32" s="465" t="s">
        <v>11</v>
      </c>
      <c r="C32" s="476" t="s">
        <v>15</v>
      </c>
      <c r="D32" s="477"/>
      <c r="E32" s="45">
        <v>97.42</v>
      </c>
    </row>
    <row r="33" spans="1:5" x14ac:dyDescent="0.2">
      <c r="A33" s="474"/>
      <c r="B33" s="482"/>
      <c r="C33" s="447" t="s">
        <v>58</v>
      </c>
      <c r="D33" s="448"/>
      <c r="E33" s="45">
        <v>28.8</v>
      </c>
    </row>
    <row r="34" spans="1:5" x14ac:dyDescent="0.2">
      <c r="A34" s="474"/>
      <c r="B34" s="482"/>
      <c r="C34" s="465" t="s">
        <v>11</v>
      </c>
      <c r="D34" s="44" t="s">
        <v>15</v>
      </c>
      <c r="E34" s="45">
        <v>0</v>
      </c>
    </row>
    <row r="35" spans="1:5" x14ac:dyDescent="0.2">
      <c r="A35" s="474"/>
      <c r="B35" s="482"/>
      <c r="C35" s="482"/>
      <c r="D35" s="48" t="s">
        <v>12</v>
      </c>
      <c r="E35" s="45">
        <v>0</v>
      </c>
    </row>
    <row r="36" spans="1:5" x14ac:dyDescent="0.2">
      <c r="A36" s="474"/>
      <c r="B36" s="482"/>
      <c r="C36" s="482"/>
      <c r="D36" s="52" t="s">
        <v>3</v>
      </c>
      <c r="E36" s="45">
        <v>0</v>
      </c>
    </row>
    <row r="37" spans="1:5" x14ac:dyDescent="0.2">
      <c r="A37" s="474"/>
      <c r="B37" s="482"/>
      <c r="C37" s="466"/>
      <c r="D37" s="49" t="s">
        <v>18</v>
      </c>
      <c r="E37" s="45">
        <f>E34-E35-E36</f>
        <v>0</v>
      </c>
    </row>
    <row r="38" spans="1:5" x14ac:dyDescent="0.2">
      <c r="A38" s="475"/>
      <c r="B38" s="466"/>
      <c r="C38" s="447" t="s">
        <v>9</v>
      </c>
      <c r="D38" s="448"/>
      <c r="E38" s="44">
        <f>E32-E34-E33</f>
        <v>68.62</v>
      </c>
    </row>
    <row r="39" spans="1:5" x14ac:dyDescent="0.2">
      <c r="A39" s="47" t="s">
        <v>59</v>
      </c>
      <c r="B39" s="441" t="s">
        <v>60</v>
      </c>
      <c r="C39" s="441"/>
      <c r="D39" s="441"/>
      <c r="E39" s="45">
        <v>35.24</v>
      </c>
    </row>
    <row r="40" spans="1:5" x14ac:dyDescent="0.2">
      <c r="A40" s="2"/>
      <c r="D40"/>
    </row>
  </sheetData>
  <mergeCells count="38">
    <mergeCell ref="B27:B29"/>
    <mergeCell ref="B30:D30"/>
    <mergeCell ref="B32:B38"/>
    <mergeCell ref="C22:D22"/>
    <mergeCell ref="B22:B25"/>
    <mergeCell ref="C23:C24"/>
    <mergeCell ref="E4:F4"/>
    <mergeCell ref="C27:D27"/>
    <mergeCell ref="B39:D39"/>
    <mergeCell ref="B7:B9"/>
    <mergeCell ref="B10:B13"/>
    <mergeCell ref="B14:B21"/>
    <mergeCell ref="C17:C20"/>
    <mergeCell ref="C21:D21"/>
    <mergeCell ref="C33:D33"/>
    <mergeCell ref="C34:C37"/>
    <mergeCell ref="C38:D38"/>
    <mergeCell ref="C28:D28"/>
    <mergeCell ref="C29:D29"/>
    <mergeCell ref="B31:D31"/>
    <mergeCell ref="C25:D25"/>
    <mergeCell ref="B26:D26"/>
    <mergeCell ref="G2:G3"/>
    <mergeCell ref="H2:H3"/>
    <mergeCell ref="I2:I3"/>
    <mergeCell ref="A1:H1"/>
    <mergeCell ref="A7:A38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32:D32"/>
  </mergeCells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1FBC-572A-2547-90B0-0A17AE670523}">
  <sheetPr codeName="Sheet15"/>
  <dimension ref="A1:K5"/>
  <sheetViews>
    <sheetView zoomScaleNormal="80" zoomScaleSheetLayoutView="100" workbookViewId="0">
      <selection activeCell="F17" sqref="F17"/>
    </sheetView>
  </sheetViews>
  <sheetFormatPr defaultRowHeight="14.25" x14ac:dyDescent="0.2"/>
  <sheetData>
    <row r="1" spans="1:11" ht="20.25" x14ac:dyDescent="0.2">
      <c r="A1" s="439" t="s">
        <v>200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5750.99</v>
      </c>
      <c r="C2" s="169" t="s">
        <v>29</v>
      </c>
      <c r="D2" s="173">
        <v>5101.46</v>
      </c>
      <c r="E2" s="44" t="s">
        <v>61</v>
      </c>
      <c r="F2" s="103">
        <v>20000</v>
      </c>
      <c r="G2" s="433" t="s">
        <v>139</v>
      </c>
      <c r="H2" s="435">
        <f>F3/F2/30*365*100</f>
        <v>3.564225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2407.0700000000002</v>
      </c>
      <c r="C3" s="178" t="s">
        <v>88</v>
      </c>
      <c r="D3" s="179">
        <v>1112.22</v>
      </c>
      <c r="E3" s="58" t="s">
        <v>56</v>
      </c>
      <c r="F3" s="64">
        <v>58.59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739.66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821.73</v>
      </c>
      <c r="C5" s="184" t="s">
        <v>196</v>
      </c>
      <c r="D5" s="185">
        <v>20.78</v>
      </c>
      <c r="E5" s="43"/>
      <c r="F5" s="43"/>
      <c r="G5" s="43"/>
      <c r="H5" s="7"/>
      <c r="I5" s="7" t="s">
        <v>251</v>
      </c>
      <c r="J5" s="43"/>
      <c r="K5" s="43"/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E5C7-D1B7-3648-87EE-9F8DDF0125A8}">
  <sheetPr codeName="Sheet16"/>
  <dimension ref="A1:K5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201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49.88</v>
      </c>
      <c r="C2" s="169" t="s">
        <v>29</v>
      </c>
      <c r="D2" s="173">
        <v>1050.1300000000001</v>
      </c>
      <c r="E2" s="44" t="s">
        <v>61</v>
      </c>
      <c r="F2" s="103">
        <v>20000</v>
      </c>
      <c r="G2" s="433" t="s">
        <v>139</v>
      </c>
      <c r="H2" s="435">
        <f>F3/F2/30*365*100</f>
        <v>0.66551666666666665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0</v>
      </c>
      <c r="C3" s="178" t="s">
        <v>88</v>
      </c>
      <c r="D3" s="179">
        <v>103.63</v>
      </c>
      <c r="E3" s="58" t="s">
        <v>56</v>
      </c>
      <c r="F3" s="64">
        <v>10.94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387.43</v>
      </c>
      <c r="C4" s="174" t="s">
        <v>197</v>
      </c>
      <c r="D4" s="181">
        <v>60.86</v>
      </c>
      <c r="F4" s="186"/>
      <c r="J4" s="43"/>
      <c r="K4" s="43"/>
    </row>
    <row r="5" spans="1:11" ht="15" thickBot="1" x14ac:dyDescent="0.25">
      <c r="A5" s="182" t="s">
        <v>131</v>
      </c>
      <c r="B5" s="183">
        <v>178.21</v>
      </c>
      <c r="C5" s="184" t="s">
        <v>196</v>
      </c>
      <c r="D5" s="185">
        <v>320</v>
      </c>
      <c r="E5" s="43"/>
      <c r="F5" s="43"/>
      <c r="G5" s="43"/>
      <c r="H5" s="7"/>
      <c r="I5" s="7" t="s">
        <v>251</v>
      </c>
      <c r="J5" s="43"/>
      <c r="K5" s="43"/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C03C0-D2E8-DE40-B1E9-614AD1D8628A}">
  <sheetPr codeName="Sheet17"/>
  <dimension ref="A1:K5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202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2663</v>
      </c>
      <c r="C2" s="169" t="s">
        <v>29</v>
      </c>
      <c r="D2" s="173">
        <v>3510.53</v>
      </c>
      <c r="E2" s="44" t="s">
        <v>61</v>
      </c>
      <c r="F2" s="103">
        <v>20000</v>
      </c>
      <c r="G2" s="433" t="s">
        <v>139</v>
      </c>
      <c r="H2" s="435">
        <f>F3/F2/30*365*100</f>
        <v>0.41427499999999995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949.23</v>
      </c>
      <c r="C3" s="178" t="s">
        <v>88</v>
      </c>
      <c r="D3" s="179">
        <v>292.58999999999997</v>
      </c>
      <c r="E3" s="58" t="s">
        <v>56</v>
      </c>
      <c r="F3" s="64">
        <v>6.81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735.22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1234.49</v>
      </c>
      <c r="C5" s="184" t="s">
        <v>196</v>
      </c>
      <c r="D5" s="185">
        <v>299</v>
      </c>
      <c r="E5" s="43"/>
      <c r="F5" s="43"/>
      <c r="G5" s="43"/>
      <c r="H5" s="7"/>
      <c r="I5" s="7" t="s">
        <v>251</v>
      </c>
      <c r="J5" s="43"/>
      <c r="K5" s="43"/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81AA-1C16-B447-AD1D-35F1CCD1CFED}">
  <sheetPr codeName="Sheet18"/>
  <dimension ref="A1:K5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203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3450.08</v>
      </c>
      <c r="C2" s="169" t="s">
        <v>29</v>
      </c>
      <c r="D2" s="173">
        <v>4826.0600000000004</v>
      </c>
      <c r="E2" s="44" t="s">
        <v>61</v>
      </c>
      <c r="F2" s="103">
        <v>20000</v>
      </c>
      <c r="G2" s="433" t="s">
        <v>139</v>
      </c>
      <c r="H2" s="435">
        <f>F3/F2/30*365*100</f>
        <v>-0.9927999999999999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2061.5700000000002</v>
      </c>
      <c r="C3" s="178" t="s">
        <v>88</v>
      </c>
      <c r="D3" s="179">
        <v>1490.75</v>
      </c>
      <c r="E3" s="58" t="s">
        <v>56</v>
      </c>
      <c r="F3" s="64">
        <v>-16.32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840.49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292.55</v>
      </c>
      <c r="C5" s="184" t="s">
        <v>196</v>
      </c>
      <c r="D5" s="185">
        <v>140.69999999999999</v>
      </c>
      <c r="E5" s="43"/>
      <c r="F5" s="43"/>
      <c r="G5" s="43"/>
      <c r="H5" s="7"/>
      <c r="I5" s="7" t="s">
        <v>251</v>
      </c>
      <c r="J5" s="43"/>
      <c r="K5" s="43"/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53F0-02EC-7C44-8F0B-3FE51A81FE7E}">
  <sheetPr codeName="Sheet19"/>
  <dimension ref="A1:K5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204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3569.29</v>
      </c>
      <c r="C2" s="169" t="s">
        <v>29</v>
      </c>
      <c r="D2" s="173">
        <v>5752.7</v>
      </c>
      <c r="E2" s="44" t="s">
        <v>61</v>
      </c>
      <c r="F2" s="103">
        <v>20000</v>
      </c>
      <c r="G2" s="433" t="s">
        <v>139</v>
      </c>
      <c r="H2" s="435">
        <f>F3/F2/30*365*100</f>
        <v>-1.1473166666666665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711.25</v>
      </c>
      <c r="C3" s="178" t="s">
        <v>88</v>
      </c>
      <c r="D3" s="179">
        <v>1270.46</v>
      </c>
      <c r="E3" s="58" t="s">
        <v>56</v>
      </c>
      <c r="F3" s="64">
        <v>-18.86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1045.3699999999999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1937.19</v>
      </c>
      <c r="C5" s="184" t="s">
        <v>196</v>
      </c>
      <c r="D5" s="185">
        <v>788.43</v>
      </c>
      <c r="E5" s="43"/>
      <c r="F5" s="43"/>
      <c r="G5" s="43"/>
      <c r="H5" s="7"/>
      <c r="I5" s="7" t="s">
        <v>251</v>
      </c>
      <c r="J5" s="43"/>
      <c r="K5" s="43"/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044F1-AD36-D347-AE7C-3A52A6BC8251}">
  <sheetPr codeName="Sheet20"/>
  <dimension ref="A1:K11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205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2771.93</v>
      </c>
      <c r="C2" s="169" t="s">
        <v>29</v>
      </c>
      <c r="D2" s="173">
        <v>3138.74</v>
      </c>
      <c r="E2" s="44" t="s">
        <v>61</v>
      </c>
      <c r="F2" s="103">
        <v>20000</v>
      </c>
      <c r="G2" s="433" t="s">
        <v>139</v>
      </c>
      <c r="H2" s="435">
        <f>F3/F2/30*365*100</f>
        <v>0.96116666666666672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328.56</v>
      </c>
      <c r="C3" s="178" t="s">
        <v>88</v>
      </c>
      <c r="D3" s="179">
        <v>1515.81</v>
      </c>
      <c r="E3" s="58" t="s">
        <v>56</v>
      </c>
      <c r="F3" s="64">
        <v>15.8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728.41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95.26</v>
      </c>
      <c r="C5" s="184" t="s">
        <v>196</v>
      </c>
      <c r="D5" s="185">
        <v>470.7</v>
      </c>
      <c r="E5" s="43"/>
      <c r="F5" s="43"/>
      <c r="G5" s="43"/>
      <c r="H5" s="7"/>
      <c r="I5" s="7" t="s">
        <v>251</v>
      </c>
      <c r="J5" s="43"/>
      <c r="K5" s="43"/>
    </row>
    <row r="11" spans="1:11" x14ac:dyDescent="0.2">
      <c r="E11">
        <v>1</v>
      </c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6530-07E5-C941-98F4-2743F76BDDEB}">
  <sheetPr codeName="Sheet21"/>
  <dimension ref="A1:K11"/>
  <sheetViews>
    <sheetView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206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2369.15</v>
      </c>
      <c r="C2" s="169" t="s">
        <v>29</v>
      </c>
      <c r="D2" s="173">
        <v>5474.42</v>
      </c>
      <c r="E2" s="44" t="s">
        <v>61</v>
      </c>
      <c r="F2" s="103">
        <v>20000</v>
      </c>
      <c r="G2" s="433" t="s">
        <v>139</v>
      </c>
      <c r="H2" s="435">
        <f>F3/F2/30*365*100</f>
        <v>0.45564166666666672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148.47999999999999</v>
      </c>
      <c r="C3" s="178" t="s">
        <v>88</v>
      </c>
      <c r="D3" s="179">
        <v>2703.44</v>
      </c>
      <c r="E3" s="58" t="s">
        <v>56</v>
      </c>
      <c r="F3" s="64">
        <v>7.49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1239.29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627.39</v>
      </c>
      <c r="C5" s="184" t="s">
        <v>196</v>
      </c>
      <c r="D5" s="185">
        <v>755.82</v>
      </c>
      <c r="E5" s="43"/>
      <c r="F5" s="43"/>
      <c r="G5" s="43"/>
      <c r="H5" s="7"/>
      <c r="I5" s="7" t="s">
        <v>251</v>
      </c>
      <c r="J5" s="43"/>
      <c r="K5" s="43"/>
    </row>
    <row r="11" spans="1:11" x14ac:dyDescent="0.2">
      <c r="E11">
        <v>1</v>
      </c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1CF3-97D7-014D-9F43-1DE6E293895A}">
  <sheetPr codeName="Sheet22"/>
  <dimension ref="A1:K11"/>
  <sheetViews>
    <sheetView topLeftCell="A18" zoomScaleNormal="80" zoomScaleSheetLayoutView="100" workbookViewId="0">
      <selection activeCell="F17" sqref="F17"/>
    </sheetView>
  </sheetViews>
  <sheetFormatPr defaultColWidth="9.375" defaultRowHeight="14.25" x14ac:dyDescent="0.2"/>
  <sheetData>
    <row r="1" spans="1:11" ht="20.25" x14ac:dyDescent="0.2">
      <c r="A1" s="439" t="s">
        <v>207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3442.91</v>
      </c>
      <c r="C2" s="169" t="s">
        <v>29</v>
      </c>
      <c r="D2" s="173">
        <v>3361.51</v>
      </c>
      <c r="E2" s="44" t="s">
        <v>61</v>
      </c>
      <c r="F2" s="103">
        <v>20000</v>
      </c>
      <c r="G2" s="433" t="s">
        <v>139</v>
      </c>
      <c r="H2" s="435">
        <f>F3/F2/30*365*100</f>
        <v>3.1377833333333336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230.15</v>
      </c>
      <c r="C3" s="178" t="s">
        <v>88</v>
      </c>
      <c r="D3" s="179">
        <v>2123.42</v>
      </c>
      <c r="E3" s="58" t="s">
        <v>56</v>
      </c>
      <c r="F3" s="64">
        <v>51.58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409.5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381.14</v>
      </c>
      <c r="C5" s="184" t="s">
        <v>196</v>
      </c>
      <c r="D5" s="185">
        <v>217.3</v>
      </c>
      <c r="E5" s="43"/>
      <c r="F5" s="43"/>
      <c r="G5" s="43"/>
      <c r="H5" s="7"/>
      <c r="I5" s="7" t="s">
        <v>251</v>
      </c>
      <c r="J5" s="43"/>
      <c r="K5" s="43"/>
    </row>
    <row r="11" spans="1:11" x14ac:dyDescent="0.2">
      <c r="E11">
        <v>1</v>
      </c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2F97-823D-504D-AD8C-B6F5C4899DB8}">
  <sheetPr codeName="Sheet23"/>
  <dimension ref="A1:K11"/>
  <sheetViews>
    <sheetView zoomScaleNormal="80" zoomScaleSheetLayoutView="100" workbookViewId="0">
      <selection activeCell="C13" sqref="C13"/>
    </sheetView>
  </sheetViews>
  <sheetFormatPr defaultColWidth="9.375" defaultRowHeight="14.25" x14ac:dyDescent="0.2"/>
  <sheetData>
    <row r="1" spans="1:11" ht="20.25" x14ac:dyDescent="0.2">
      <c r="A1" s="439" t="s">
        <v>208</v>
      </c>
      <c r="B1" s="439"/>
      <c r="C1" s="439"/>
      <c r="D1" s="439"/>
      <c r="E1" s="439"/>
      <c r="F1" s="439"/>
      <c r="G1" s="407"/>
      <c r="H1" s="407"/>
      <c r="I1" s="407"/>
      <c r="J1" s="43"/>
      <c r="K1" s="43"/>
    </row>
    <row r="2" spans="1:11" ht="29.25" thickBot="1" x14ac:dyDescent="0.25">
      <c r="A2" s="171" t="s">
        <v>5</v>
      </c>
      <c r="B2" s="172">
        <v>1622.93</v>
      </c>
      <c r="C2" s="169" t="s">
        <v>29</v>
      </c>
      <c r="D2" s="173">
        <v>4477.53</v>
      </c>
      <c r="E2" s="44" t="s">
        <v>61</v>
      </c>
      <c r="F2" s="103">
        <v>20000</v>
      </c>
      <c r="G2" s="433" t="s">
        <v>139</v>
      </c>
      <c r="H2" s="435">
        <f>F3/F2/30*365*100</f>
        <v>-4.7431750000000008</v>
      </c>
      <c r="I2" s="437" t="s">
        <v>62</v>
      </c>
      <c r="J2" s="43" t="s">
        <v>189</v>
      </c>
      <c r="K2" s="95">
        <v>105.58</v>
      </c>
    </row>
    <row r="3" spans="1:11" ht="28.5" x14ac:dyDescent="0.2">
      <c r="A3" s="176" t="s">
        <v>198</v>
      </c>
      <c r="B3" s="177">
        <v>859.49</v>
      </c>
      <c r="C3" s="178" t="s">
        <v>88</v>
      </c>
      <c r="D3" s="179">
        <v>398.92</v>
      </c>
      <c r="E3" s="58" t="s">
        <v>56</v>
      </c>
      <c r="F3" s="64">
        <v>-77.97</v>
      </c>
      <c r="G3" s="434"/>
      <c r="H3" s="436"/>
      <c r="I3" s="438"/>
      <c r="J3" s="43" t="s">
        <v>188</v>
      </c>
      <c r="K3" s="43">
        <v>-116.34</v>
      </c>
    </row>
    <row r="4" spans="1:11" ht="28.5" x14ac:dyDescent="0.2">
      <c r="A4" s="180" t="s">
        <v>138</v>
      </c>
      <c r="B4" s="175">
        <v>741.81</v>
      </c>
      <c r="C4" s="174" t="s">
        <v>197</v>
      </c>
      <c r="D4" s="181">
        <v>0</v>
      </c>
      <c r="F4" s="186"/>
      <c r="J4" s="43"/>
      <c r="K4" s="43"/>
    </row>
    <row r="5" spans="1:11" ht="15" thickBot="1" x14ac:dyDescent="0.25">
      <c r="A5" s="182" t="s">
        <v>131</v>
      </c>
      <c r="B5" s="183">
        <v>938.26</v>
      </c>
      <c r="C5" s="184" t="s">
        <v>196</v>
      </c>
      <c r="D5" s="185">
        <v>1539.05</v>
      </c>
      <c r="E5" s="43"/>
      <c r="F5" s="43"/>
      <c r="G5" s="43"/>
      <c r="H5" s="7"/>
      <c r="I5" s="7" t="s">
        <v>251</v>
      </c>
      <c r="J5" s="43"/>
      <c r="K5" s="43"/>
    </row>
    <row r="11" spans="1:11" x14ac:dyDescent="0.2">
      <c r="E11">
        <v>1</v>
      </c>
    </row>
  </sheetData>
  <mergeCells count="4">
    <mergeCell ref="A1:I1"/>
    <mergeCell ref="G2:G3"/>
    <mergeCell ref="H2:H3"/>
    <mergeCell ref="I2:I3"/>
  </mergeCells>
  <phoneticPr fontId="4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C2C0-857B-4492-BF30-47DC8B4C1FFC}">
  <sheetPr codeName="Sheet24"/>
  <dimension ref="J1:X22"/>
  <sheetViews>
    <sheetView topLeftCell="K1" workbookViewId="0">
      <selection activeCell="O15" sqref="O15"/>
    </sheetView>
  </sheetViews>
  <sheetFormatPr defaultRowHeight="14.25" x14ac:dyDescent="0.2"/>
  <cols>
    <col min="1" max="10" width="0" hidden="1" customWidth="1"/>
  </cols>
  <sheetData>
    <row r="1" spans="10:24" ht="15" thickBot="1" x14ac:dyDescent="0.25">
      <c r="K1" s="75" t="s">
        <v>281</v>
      </c>
      <c r="L1" s="250" t="e">
        <f ca="1">年!M1*12+now!#REF!</f>
        <v>#REF!</v>
      </c>
      <c r="M1" s="216">
        <f ca="1">SUMIFS(now!AL:AL,now!AL:AL,"&gt;0",now!AI:AI,"safar")</f>
        <v>0</v>
      </c>
      <c r="O1" s="1" t="s">
        <v>220</v>
      </c>
      <c r="P1" s="77" t="s">
        <v>238</v>
      </c>
      <c r="Q1" s="88" t="str">
        <f ca="1">IF(MIN(年!W3,(年!W1+年!R1)*0.8)-年!R1&lt;=0,"√",MIN(年!W3,(年!W1+年!R1)*0.8)-年!R1)</f>
        <v>√</v>
      </c>
      <c r="R1" s="304">
        <f ca="1">MAX(MIN(月初!I13:L13)*月初!D14,0)</f>
        <v>0</v>
      </c>
      <c r="S1" s="64">
        <f ca="1">(年!W1+年!R1)*年!U13</f>
        <v>0</v>
      </c>
      <c r="T1" s="64">
        <f>年!W3</f>
        <v>0</v>
      </c>
      <c r="U1" s="64">
        <f ca="1">MAX(MIN(S1,T1),0)</f>
        <v>0</v>
      </c>
      <c r="V1" s="263">
        <f ca="1">R1-U1</f>
        <v>0</v>
      </c>
      <c r="W1" s="145"/>
    </row>
    <row r="2" spans="10:24" ht="15" thickBot="1" x14ac:dyDescent="0.25">
      <c r="K2" s="129" t="s">
        <v>283</v>
      </c>
      <c r="L2" s="79" t="e">
        <f>now!#REF!</f>
        <v>#REF!</v>
      </c>
      <c r="M2" s="139">
        <f>7*24</f>
        <v>168</v>
      </c>
      <c r="N2" s="140" t="s">
        <v>152</v>
      </c>
      <c r="O2" s="1" t="s">
        <v>221</v>
      </c>
      <c r="W2" s="64">
        <f ca="1">年!U1</f>
        <v>0</v>
      </c>
    </row>
    <row r="3" spans="10:24" ht="15" thickBot="1" x14ac:dyDescent="0.25">
      <c r="O3" s="1" t="s">
        <v>222</v>
      </c>
      <c r="W3" s="217">
        <f>SUMIF(now!$S$16:$S$22,"safar",年!$W$4:$W$10)</f>
        <v>0</v>
      </c>
    </row>
    <row r="4" spans="10:24" ht="20.25" x14ac:dyDescent="0.2">
      <c r="J4" t="s">
        <v>285</v>
      </c>
      <c r="K4" s="73">
        <f ca="1">(YEAR(TODAY())-2002-1)/100</f>
        <v>0.23</v>
      </c>
      <c r="L4" t="s">
        <v>286</v>
      </c>
      <c r="M4" s="67">
        <v>37619</v>
      </c>
      <c r="N4" s="1" t="s">
        <v>287</v>
      </c>
      <c r="O4" s="260">
        <f ca="1">IF(ISBLANK(月初!I5),EOMONTH(TODAY(),0),月初!I5)</f>
        <v>46142</v>
      </c>
      <c r="P4" s="1" t="s">
        <v>288</v>
      </c>
      <c r="Q4" s="67">
        <f ca="1">DATE(YEAR(TODAY()),MONTH(TODAY())+1,1)</f>
        <v>46143</v>
      </c>
      <c r="R4" s="1" t="s">
        <v>145</v>
      </c>
      <c r="S4" s="64">
        <f>SUM(月初!E20:E27)</f>
        <v>23369.599999999999</v>
      </c>
      <c r="T4" s="137">
        <f ca="1">EOMONTH(TODAY(),0)-TODAY()</f>
        <v>19</v>
      </c>
      <c r="W4" s="104">
        <f ca="1">now!M16*now!Q16</f>
        <v>-85</v>
      </c>
    </row>
    <row r="5" spans="10:24" ht="15" thickBot="1" x14ac:dyDescent="0.25">
      <c r="J5" s="77" t="s">
        <v>149</v>
      </c>
      <c r="K5" s="143">
        <f>L5/SUM($L$5:$L$5)</f>
        <v>1</v>
      </c>
      <c r="L5" s="133">
        <f>SUMIF(now!$W:$W,J5,now!$AG:$AG)</f>
        <v>7.6439334637964782</v>
      </c>
      <c r="M5" s="97">
        <v>2</v>
      </c>
      <c r="N5" s="144">
        <f>(1-now!$L$28)/SUM($M$5:$M$5)*M5</f>
        <v>0.41770357686453574</v>
      </c>
      <c r="O5" s="163" t="s">
        <v>253</v>
      </c>
      <c r="P5" s="163">
        <f>AVERAGE(now:年!F6)*30</f>
        <v>424.71595265462508</v>
      </c>
      <c r="Q5" s="247" t="s">
        <v>5</v>
      </c>
      <c r="R5" s="197">
        <f>AVERAGE(now:年!B2)</f>
        <v>5611.8511111111102</v>
      </c>
      <c r="W5" s="104">
        <f ca="1">now!M17*now!Q17</f>
        <v>4983.4594285714293</v>
      </c>
    </row>
    <row r="6" spans="10:24" x14ac:dyDescent="0.2">
      <c r="S6" s="1" t="s">
        <v>199</v>
      </c>
      <c r="T6" s="64">
        <f>年!R5-now!M33</f>
        <v>-775.19349529710234</v>
      </c>
      <c r="W6" t="e">
        <f ca="1">now!M18*now!Q18</f>
        <v>#REF!</v>
      </c>
    </row>
    <row r="7" spans="10:24" x14ac:dyDescent="0.2">
      <c r="W7">
        <f>now!M19*now!Q19</f>
        <v>0</v>
      </c>
    </row>
    <row r="8" spans="10:24" x14ac:dyDescent="0.2">
      <c r="W8">
        <f>now!M20*now!Q20</f>
        <v>0</v>
      </c>
    </row>
    <row r="9" spans="10:24" x14ac:dyDescent="0.2">
      <c r="W9">
        <f>now!M21*now!Q21</f>
        <v>0</v>
      </c>
    </row>
    <row r="10" spans="10:24" ht="15" thickBot="1" x14ac:dyDescent="0.25">
      <c r="W10">
        <f>now!M22*now!Q22</f>
        <v>0</v>
      </c>
    </row>
    <row r="11" spans="10:24" x14ac:dyDescent="0.2">
      <c r="L11" s="75" t="s">
        <v>133</v>
      </c>
      <c r="M11" s="340" t="s">
        <v>344</v>
      </c>
      <c r="N11" s="1"/>
      <c r="O11" s="1"/>
      <c r="P11" s="354">
        <f ca="1">O13/P13</f>
        <v>0</v>
      </c>
      <c r="Q11" s="355">
        <f ca="1">O13/Q13</f>
        <v>0</v>
      </c>
    </row>
    <row r="12" spans="10:24" ht="15" thickBot="1" x14ac:dyDescent="0.25">
      <c r="L12" s="353"/>
      <c r="M12" s="352"/>
      <c r="N12" s="67"/>
      <c r="O12" s="67" t="s">
        <v>345</v>
      </c>
      <c r="P12" s="1" t="e" vm="1">
        <v>#VALUE!</v>
      </c>
      <c r="Q12" s="350" t="e" vm="2">
        <v>#VALUE!</v>
      </c>
    </row>
    <row r="13" spans="10:24" x14ac:dyDescent="0.2">
      <c r="L13" s="351"/>
      <c r="M13" s="3"/>
      <c r="N13" s="357"/>
      <c r="O13" s="152"/>
      <c r="P13" s="350" cm="1">
        <f t="array" aca="1" ref="P13" ca="1">_FV(P12,"Price")</f>
        <v>0.87180000000000002</v>
      </c>
      <c r="Q13" s="350" cm="1">
        <f t="array" aca="1" ref="Q13" ca="1">_FV(Q12,"Price")</f>
        <v>6.8277999999999999</v>
      </c>
      <c r="T13" s="75"/>
      <c r="U13" s="306">
        <v>0.8</v>
      </c>
      <c r="V13" s="75"/>
      <c r="W13" s="75"/>
      <c r="X13" s="76"/>
    </row>
    <row r="14" spans="10:24" x14ac:dyDescent="0.2">
      <c r="L14" s="351"/>
      <c r="M14" s="3"/>
      <c r="N14" s="1"/>
      <c r="O14" s="349">
        <f>343.32/4</f>
        <v>85.83</v>
      </c>
      <c r="P14" s="1"/>
      <c r="Q14" s="17"/>
      <c r="T14" s="1" t="s">
        <v>305</v>
      </c>
      <c r="U14" s="1" t="s">
        <v>243</v>
      </c>
      <c r="V14" s="1" t="s">
        <v>306</v>
      </c>
      <c r="W14" s="1" t="s">
        <v>307</v>
      </c>
      <c r="X14" s="119" t="s">
        <v>308</v>
      </c>
    </row>
    <row r="15" spans="10:24" ht="15" thickBot="1" x14ac:dyDescent="0.25">
      <c r="L15" s="351"/>
      <c r="M15" s="3"/>
      <c r="N15" s="1"/>
      <c r="O15" s="1">
        <f>138.06/58.4</f>
        <v>2.364041095890411</v>
      </c>
      <c r="P15" s="1" t="s">
        <v>344</v>
      </c>
      <c r="Q15" s="342" t="s">
        <v>256</v>
      </c>
      <c r="T15" s="219">
        <f ca="1">MAX(MIN(月初!I13:L13)*月初!D15,0)</f>
        <v>0</v>
      </c>
      <c r="U15" s="163">
        <f ca="1">(年!T15)*U13</f>
        <v>0</v>
      </c>
      <c r="V15" s="163">
        <f ca="1">now!O15</f>
        <v>4898.4594285714293</v>
      </c>
      <c r="W15" s="163">
        <f ca="1">MIN(U15,V15)</f>
        <v>0</v>
      </c>
      <c r="X15" s="79">
        <f ca="1">T15-W15</f>
        <v>0</v>
      </c>
    </row>
    <row r="16" spans="10:24" x14ac:dyDescent="0.2">
      <c r="L16" s="351"/>
      <c r="M16" s="3"/>
      <c r="N16" s="1"/>
      <c r="O16" s="1"/>
      <c r="P16" s="64">
        <f ca="1">月初!I20/$P$13</f>
        <v>22.408836502802746</v>
      </c>
      <c r="Q16" s="346">
        <f ca="1">月初!I20/$Q$13</f>
        <v>2.8612472045378357</v>
      </c>
    </row>
    <row r="17" spans="12:19" x14ac:dyDescent="0.2">
      <c r="L17" s="351"/>
      <c r="M17" s="165"/>
      <c r="N17" s="1"/>
      <c r="O17" s="1"/>
      <c r="P17" s="1"/>
      <c r="Q17" s="347"/>
    </row>
    <row r="18" spans="12:19" x14ac:dyDescent="0.2">
      <c r="L18" s="486"/>
      <c r="M18" s="393"/>
      <c r="N18" s="1"/>
      <c r="O18" s="1"/>
      <c r="P18" s="1"/>
      <c r="Q18" s="346"/>
    </row>
    <row r="19" spans="12:19" ht="15" thickBot="1" x14ac:dyDescent="0.25">
      <c r="L19" s="487"/>
      <c r="M19" s="394"/>
      <c r="N19" s="1"/>
      <c r="O19" s="1"/>
      <c r="P19" s="1"/>
      <c r="Q19" s="346"/>
    </row>
    <row r="20" spans="12:19" x14ac:dyDescent="0.2">
      <c r="N20" s="1"/>
      <c r="O20" s="1"/>
      <c r="P20" s="1"/>
      <c r="Q20" s="346"/>
    </row>
    <row r="21" spans="12:19" x14ac:dyDescent="0.2">
      <c r="N21" s="1"/>
      <c r="O21" s="1"/>
      <c r="P21" s="64">
        <f ca="1">月初!I25/$P$13</f>
        <v>0</v>
      </c>
      <c r="Q21" s="346">
        <f ca="1">月初!I25/$Q$13</f>
        <v>0</v>
      </c>
      <c r="S21">
        <f>月初!B23*1.33</f>
        <v>0.44333333333333341</v>
      </c>
    </row>
    <row r="22" spans="12:19" x14ac:dyDescent="0.2">
      <c r="S22">
        <f>月初!B23*15/75</f>
        <v>6.666666666666668E-2</v>
      </c>
    </row>
  </sheetData>
  <mergeCells count="2">
    <mergeCell ref="L18:L19"/>
    <mergeCell ref="M18:M19"/>
  </mergeCells>
  <phoneticPr fontId="4" type="noConversion"/>
  <conditionalFormatting sqref="M2">
    <cfRule type="containsText" dxfId="21" priority="24" operator="containsText" text="学">
      <formula>NOT(ISERROR(SEARCH("学",M2)))</formula>
    </cfRule>
    <cfRule type="containsText" dxfId="20" priority="25" operator="containsText" text="活">
      <formula>NOT(ISERROR(SEARCH("活",M2)))</formula>
    </cfRule>
    <cfRule type="containsText" dxfId="19" priority="26" operator="containsText" text="玩">
      <formula>NOT(ISERROR(SEARCH("玩",M2)))</formula>
    </cfRule>
    <cfRule type="containsText" dxfId="18" priority="27" operator="containsText" text="课">
      <formula>NOT(ISERROR(SEARCH("课",M2)))</formula>
    </cfRule>
  </conditionalFormatting>
  <conditionalFormatting sqref="K4">
    <cfRule type="beginsWith" dxfId="17" priority="23" operator="beginsWith" text="欠">
      <formula>LEFT(K4,LEN("欠"))="欠"</formula>
    </cfRule>
  </conditionalFormatting>
  <conditionalFormatting sqref="J5">
    <cfRule type="containsText" dxfId="16" priority="19" operator="containsText" text="学">
      <formula>NOT(ISERROR(SEARCH("学",J5)))</formula>
    </cfRule>
    <cfRule type="containsText" dxfId="15" priority="20" operator="containsText" text="活">
      <formula>NOT(ISERROR(SEARCH("活",J5)))</formula>
    </cfRule>
    <cfRule type="containsText" dxfId="14" priority="21" operator="containsText" text="玩">
      <formula>NOT(ISERROR(SEARCH("玩",J5)))</formula>
    </cfRule>
    <cfRule type="containsText" dxfId="13" priority="22" operator="containsText" text="课">
      <formula>NOT(ISERROR(SEARCH("课",J5)))</formula>
    </cfRule>
  </conditionalFormatting>
  <conditionalFormatting sqref="J5">
    <cfRule type="containsText" dxfId="12" priority="15" operator="containsText" text="学">
      <formula>NOT(ISERROR(SEARCH("学",J5)))</formula>
    </cfRule>
    <cfRule type="containsText" dxfId="11" priority="16" operator="containsText" text="活">
      <formula>NOT(ISERROR(SEARCH("活",J5)))</formula>
    </cfRule>
    <cfRule type="containsText" dxfId="10" priority="17" operator="containsText" text="玩">
      <formula>NOT(ISERROR(SEARCH("玩",J5)))</formula>
    </cfRule>
    <cfRule type="containsText" dxfId="9" priority="18" operator="containsText" text="课">
      <formula>NOT(ISERROR(SEARCH("课",J5)))</formula>
    </cfRule>
  </conditionalFormatting>
  <conditionalFormatting sqref="K5">
    <cfRule type="cellIs" dxfId="8" priority="13" operator="greaterThan">
      <formula>$F$3</formula>
    </cfRule>
  </conditionalFormatting>
  <conditionalFormatting sqref="K5">
    <cfRule type="cellIs" dxfId="7" priority="12" operator="between">
      <formula>$F5-0.03</formula>
      <formula>$F5+0.03</formula>
    </cfRule>
  </conditionalFormatting>
  <conditionalFormatting sqref="L5">
    <cfRule type="cellIs" dxfId="6" priority="14" operator="lessThan">
      <formula>2</formula>
    </cfRule>
  </conditionalFormatting>
  <conditionalFormatting sqref="R1">
    <cfRule type="cellIs" dxfId="5" priority="11" operator="lessThan">
      <formula>0.5</formula>
    </cfRule>
  </conditionalFormatting>
  <conditionalFormatting sqref="T15">
    <cfRule type="cellIs" dxfId="4" priority="5" operator="lessThan">
      <formula>0.5</formula>
    </cfRule>
  </conditionalFormatting>
  <conditionalFormatting sqref="T13 T15">
    <cfRule type="containsText" dxfId="3" priority="1" operator="containsText" text="s">
      <formula>NOT(ISERROR(SEARCH("s",T13)))</formula>
    </cfRule>
    <cfRule type="containsText" dxfId="2" priority="2" operator="containsText" text="活">
      <formula>NOT(ISERROR(SEARCH("活",T13)))</formula>
    </cfRule>
    <cfRule type="containsText" dxfId="1" priority="3" operator="containsText" text="消">
      <formula>NOT(ISERROR(SEARCH("消",T13)))</formula>
    </cfRule>
    <cfRule type="containsText" dxfId="0" priority="4" operator="containsText" text="课">
      <formula>NOT(ISERROR(SEARCH("课",T13)))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01A5-5257-4717-AF03-B598C6D756A7}">
  <sheetPr codeName="Sheet25"/>
  <dimension ref="A1:I39"/>
  <sheetViews>
    <sheetView workbookViewId="0">
      <selection activeCell="E38" sqref="E38"/>
    </sheetView>
  </sheetViews>
  <sheetFormatPr defaultColWidth="8.75" defaultRowHeight="14.85" customHeight="1" x14ac:dyDescent="0.2"/>
  <cols>
    <col min="1" max="1" width="10.75" style="43" customWidth="1"/>
    <col min="2" max="2" width="15.75" style="43" customWidth="1"/>
    <col min="3" max="3" width="12" style="43" customWidth="1"/>
    <col min="4" max="4" width="13.5" style="43" customWidth="1"/>
    <col min="5" max="5" width="13.375" style="43" customWidth="1"/>
    <col min="6" max="6" width="15.25" style="43" customWidth="1"/>
    <col min="7" max="7" width="8.125" style="43" customWidth="1"/>
    <col min="8" max="8" width="11.125" style="43" customWidth="1"/>
    <col min="9" max="9" width="10.75" style="43" customWidth="1"/>
    <col min="10" max="10" width="9.375" style="43" customWidth="1"/>
    <col min="11" max="11" width="8.75" style="43"/>
    <col min="12" max="12" width="11.375" style="43" customWidth="1"/>
    <col min="13" max="13" width="8.125" style="43" customWidth="1"/>
    <col min="14" max="16384" width="8.75" style="43"/>
  </cols>
  <sheetData>
    <row r="1" spans="1:9" ht="23.85" customHeight="1" x14ac:dyDescent="0.2">
      <c r="A1" s="439" t="s">
        <v>114</v>
      </c>
      <c r="B1" s="439"/>
      <c r="C1" s="439"/>
      <c r="D1" s="439"/>
      <c r="E1" s="439"/>
      <c r="F1" s="439"/>
      <c r="G1" s="439"/>
      <c r="H1" s="439"/>
      <c r="I1" s="439"/>
    </row>
    <row r="2" spans="1:9" ht="14.85" customHeight="1" x14ac:dyDescent="0.2">
      <c r="A2" s="48" t="s">
        <v>5</v>
      </c>
      <c r="B2" s="101">
        <v>57273.64</v>
      </c>
      <c r="C2" s="49" t="s">
        <v>29</v>
      </c>
      <c r="D2" s="98">
        <f>(B3+D4+D3)</f>
        <v>54668.94</v>
      </c>
      <c r="E2" s="44" t="s">
        <v>61</v>
      </c>
      <c r="F2" s="70">
        <f>月初!A20</f>
        <v>23369.599999999999</v>
      </c>
      <c r="G2" s="465" t="s">
        <v>57</v>
      </c>
      <c r="H2" s="467">
        <f>F3/F2*100</f>
        <v>3.195946871148835</v>
      </c>
      <c r="I2" s="469" t="s">
        <v>62</v>
      </c>
    </row>
    <row r="3" spans="1:9" ht="14.85" customHeight="1" x14ac:dyDescent="0.2">
      <c r="A3" s="441" t="s">
        <v>28</v>
      </c>
      <c r="B3" s="488">
        <f>($E$8+$E$9+$E$17+$E$25+$E$28+$E$29+$E$30+$E$37+$E$36+E32)</f>
        <v>27622.63</v>
      </c>
      <c r="C3" s="46" t="s">
        <v>88</v>
      </c>
      <c r="D3" s="99">
        <f>E7+E19+E20+E24+E34</f>
        <v>14351.55</v>
      </c>
      <c r="E3" s="58" t="s">
        <v>56</v>
      </c>
      <c r="F3" s="65">
        <f>E38-E32</f>
        <v>746.87999999999818</v>
      </c>
      <c r="G3" s="466"/>
      <c r="H3" s="468"/>
      <c r="I3" s="470"/>
    </row>
    <row r="4" spans="1:9" ht="14.85" customHeight="1" x14ac:dyDescent="0.2">
      <c r="A4" s="441"/>
      <c r="B4" s="488"/>
      <c r="C4" s="44" t="s">
        <v>112</v>
      </c>
      <c r="D4" s="100">
        <f>($E$14+$E$15+$E$18+$E$22+$E$23+$E$27+$E$35)</f>
        <v>12694.76</v>
      </c>
      <c r="E4" s="441" t="s">
        <v>111</v>
      </c>
      <c r="F4" s="441"/>
      <c r="G4" s="65">
        <f>(E8+E10+E11+E12+E25)</f>
        <v>10293.06</v>
      </c>
      <c r="H4" s="44" t="s">
        <v>49</v>
      </c>
      <c r="I4" s="65">
        <f>G4/365</f>
        <v>28.200164383561642</v>
      </c>
    </row>
    <row r="5" spans="1:9" s="7" customFormat="1" ht="14.85" customHeight="1" x14ac:dyDescent="0.2">
      <c r="D5" s="69"/>
      <c r="I5" s="7" t="s">
        <v>251</v>
      </c>
    </row>
    <row r="6" spans="1:9" ht="14.85" customHeight="1" x14ac:dyDescent="0.2">
      <c r="A6" s="440" t="s">
        <v>14</v>
      </c>
      <c r="B6" s="441" t="s">
        <v>13</v>
      </c>
      <c r="C6" s="441" t="s">
        <v>15</v>
      </c>
      <c r="D6" s="441"/>
      <c r="E6" s="66">
        <v>8730.1299999999992</v>
      </c>
    </row>
    <row r="7" spans="1:9" ht="14.85" customHeight="1" x14ac:dyDescent="0.2">
      <c r="A7" s="440"/>
      <c r="B7" s="441"/>
      <c r="C7" s="442" t="s">
        <v>63</v>
      </c>
      <c r="D7" s="442"/>
      <c r="E7" s="66">
        <v>828.24999999999989</v>
      </c>
    </row>
    <row r="8" spans="1:9" ht="14.85" customHeight="1" x14ac:dyDescent="0.2">
      <c r="A8" s="440"/>
      <c r="B8" s="441"/>
      <c r="C8" s="443" t="s">
        <v>9</v>
      </c>
      <c r="D8" s="443"/>
      <c r="E8" s="66">
        <f>E6-E7</f>
        <v>7901.8799999999992</v>
      </c>
    </row>
    <row r="9" spans="1:9" ht="14.85" customHeight="1" x14ac:dyDescent="0.2">
      <c r="A9" s="440"/>
      <c r="B9" s="444" t="s">
        <v>16</v>
      </c>
      <c r="C9" s="447" t="s">
        <v>15</v>
      </c>
      <c r="D9" s="448"/>
      <c r="E9" s="66">
        <v>4424.91</v>
      </c>
    </row>
    <row r="10" spans="1:9" ht="14.85" customHeight="1" x14ac:dyDescent="0.2">
      <c r="A10" s="440"/>
      <c r="B10" s="445"/>
      <c r="C10" s="447" t="s">
        <v>53</v>
      </c>
      <c r="D10" s="448"/>
      <c r="E10" s="66">
        <v>482.44000000000005</v>
      </c>
      <c r="F10" s="43">
        <v>135</v>
      </c>
      <c r="G10" s="43" t="s">
        <v>84</v>
      </c>
    </row>
    <row r="11" spans="1:9" ht="14.85" customHeight="1" x14ac:dyDescent="0.2">
      <c r="A11" s="440"/>
      <c r="B11" s="445"/>
      <c r="C11" s="447" t="s">
        <v>51</v>
      </c>
      <c r="D11" s="448"/>
      <c r="E11" s="66">
        <v>111.84999999999998</v>
      </c>
    </row>
    <row r="12" spans="1:9" ht="14.85" customHeight="1" x14ac:dyDescent="0.2">
      <c r="A12" s="440"/>
      <c r="B12" s="446"/>
      <c r="C12" s="447" t="s">
        <v>52</v>
      </c>
      <c r="D12" s="448"/>
      <c r="E12" s="66">
        <v>334.72999999999968</v>
      </c>
      <c r="F12" s="95">
        <v>143.67999999999995</v>
      </c>
      <c r="G12" s="43" t="s">
        <v>83</v>
      </c>
    </row>
    <row r="13" spans="1:9" ht="14.85" customHeight="1" x14ac:dyDescent="0.2">
      <c r="A13" s="440"/>
      <c r="B13" s="441" t="s">
        <v>10</v>
      </c>
      <c r="C13" s="441" t="s">
        <v>15</v>
      </c>
      <c r="D13" s="441"/>
      <c r="E13" s="66">
        <v>18009.27</v>
      </c>
    </row>
    <row r="14" spans="1:9" ht="14.85" customHeight="1" x14ac:dyDescent="0.2">
      <c r="A14" s="440"/>
      <c r="B14" s="441"/>
      <c r="C14" s="449" t="s">
        <v>17</v>
      </c>
      <c r="D14" s="449"/>
      <c r="E14" s="66">
        <v>834.96</v>
      </c>
    </row>
    <row r="15" spans="1:9" ht="14.85" customHeight="1" x14ac:dyDescent="0.2">
      <c r="A15" s="440"/>
      <c r="B15" s="441"/>
      <c r="C15" s="449" t="s">
        <v>4</v>
      </c>
      <c r="D15" s="449"/>
      <c r="E15" s="66">
        <v>4388.7900000000009</v>
      </c>
    </row>
    <row r="16" spans="1:9" ht="14.85" customHeight="1" x14ac:dyDescent="0.2">
      <c r="A16" s="440"/>
      <c r="B16" s="441"/>
      <c r="C16" s="441" t="s">
        <v>11</v>
      </c>
      <c r="D16" s="44" t="s">
        <v>15</v>
      </c>
      <c r="E16" s="66">
        <v>1889.8100000000004</v>
      </c>
    </row>
    <row r="17" spans="1:5" ht="14.85" customHeight="1" x14ac:dyDescent="0.2">
      <c r="A17" s="440"/>
      <c r="B17" s="441"/>
      <c r="C17" s="441"/>
      <c r="D17" s="49" t="s">
        <v>18</v>
      </c>
      <c r="E17" s="66">
        <v>137.69</v>
      </c>
    </row>
    <row r="18" spans="1:5" ht="14.85" customHeight="1" x14ac:dyDescent="0.2">
      <c r="A18" s="440"/>
      <c r="B18" s="441"/>
      <c r="C18" s="441"/>
      <c r="D18" s="52" t="s">
        <v>110</v>
      </c>
      <c r="E18" s="66">
        <v>1180.0500000000002</v>
      </c>
    </row>
    <row r="19" spans="1:5" ht="14.85" customHeight="1" x14ac:dyDescent="0.2">
      <c r="A19" s="440"/>
      <c r="B19" s="441"/>
      <c r="C19" s="441"/>
      <c r="D19" s="48" t="s">
        <v>12</v>
      </c>
      <c r="E19" s="66">
        <v>572.07000000000016</v>
      </c>
    </row>
    <row r="20" spans="1:5" ht="14.85" customHeight="1" x14ac:dyDescent="0.2">
      <c r="A20" s="440"/>
      <c r="B20" s="441"/>
      <c r="C20" s="442" t="s">
        <v>9</v>
      </c>
      <c r="D20" s="442"/>
      <c r="E20" s="66">
        <f>E13-E14-E15-E16</f>
        <v>10895.71</v>
      </c>
    </row>
    <row r="21" spans="1:5" ht="14.85" customHeight="1" x14ac:dyDescent="0.2">
      <c r="A21" s="440"/>
      <c r="B21" s="441" t="s">
        <v>19</v>
      </c>
      <c r="C21" s="441" t="s">
        <v>15</v>
      </c>
      <c r="D21" s="441"/>
      <c r="E21" s="66">
        <v>8191.85</v>
      </c>
    </row>
    <row r="22" spans="1:5" ht="14.85" customHeight="1" x14ac:dyDescent="0.2">
      <c r="A22" s="440"/>
      <c r="B22" s="441"/>
      <c r="C22" s="449" t="s">
        <v>110</v>
      </c>
      <c r="D22" s="52" t="s">
        <v>20</v>
      </c>
      <c r="E22" s="66">
        <v>1986.7</v>
      </c>
    </row>
    <row r="23" spans="1:5" ht="14.85" customHeight="1" x14ac:dyDescent="0.2">
      <c r="A23" s="440"/>
      <c r="B23" s="441"/>
      <c r="C23" s="449"/>
      <c r="D23" s="52" t="s">
        <v>21</v>
      </c>
      <c r="E23" s="66">
        <v>4149.63</v>
      </c>
    </row>
    <row r="24" spans="1:5" ht="14.85" customHeight="1" x14ac:dyDescent="0.2">
      <c r="A24" s="440"/>
      <c r="B24" s="441"/>
      <c r="C24" s="442" t="s">
        <v>9</v>
      </c>
      <c r="D24" s="442"/>
      <c r="E24" s="66">
        <f>E21-E22-E23</f>
        <v>2055.5200000000004</v>
      </c>
    </row>
    <row r="25" spans="1:5" ht="14.85" customHeight="1" x14ac:dyDescent="0.2">
      <c r="A25" s="440"/>
      <c r="B25" s="443" t="s">
        <v>22</v>
      </c>
      <c r="C25" s="443"/>
      <c r="D25" s="443"/>
      <c r="E25" s="66">
        <v>1462.16</v>
      </c>
    </row>
    <row r="26" spans="1:5" ht="14.85" customHeight="1" x14ac:dyDescent="0.2">
      <c r="A26" s="440"/>
      <c r="B26" s="441" t="s">
        <v>23</v>
      </c>
      <c r="C26" s="441" t="s">
        <v>15</v>
      </c>
      <c r="D26" s="441"/>
      <c r="E26" s="66">
        <v>5509.96</v>
      </c>
    </row>
    <row r="27" spans="1:5" ht="14.85" customHeight="1" x14ac:dyDescent="0.2">
      <c r="A27" s="440"/>
      <c r="B27" s="441"/>
      <c r="C27" s="449" t="s">
        <v>2</v>
      </c>
      <c r="D27" s="449"/>
      <c r="E27" s="66">
        <v>154.63</v>
      </c>
    </row>
    <row r="28" spans="1:5" ht="14.85" customHeight="1" x14ac:dyDescent="0.2">
      <c r="A28" s="440"/>
      <c r="B28" s="441"/>
      <c r="C28" s="443" t="s">
        <v>9</v>
      </c>
      <c r="D28" s="443"/>
      <c r="E28" s="66">
        <f>E26-E27</f>
        <v>5355.33</v>
      </c>
    </row>
    <row r="29" spans="1:5" ht="14.85" customHeight="1" x14ac:dyDescent="0.2">
      <c r="A29" s="440"/>
      <c r="B29" s="443" t="s">
        <v>87</v>
      </c>
      <c r="C29" s="443"/>
      <c r="D29" s="443"/>
      <c r="E29" s="66">
        <v>5816.4199999999983</v>
      </c>
    </row>
    <row r="30" spans="1:5" ht="14.85" customHeight="1" x14ac:dyDescent="0.2">
      <c r="A30" s="440"/>
      <c r="B30" s="443" t="s">
        <v>25</v>
      </c>
      <c r="C30" s="443"/>
      <c r="D30" s="443"/>
      <c r="E30" s="66">
        <v>637.33000000000004</v>
      </c>
    </row>
    <row r="31" spans="1:5" ht="14.85" customHeight="1" x14ac:dyDescent="0.2">
      <c r="A31" s="440"/>
      <c r="B31" s="441" t="s">
        <v>11</v>
      </c>
      <c r="C31" s="441" t="s">
        <v>15</v>
      </c>
      <c r="D31" s="441"/>
      <c r="E31" s="66">
        <v>1886.91</v>
      </c>
    </row>
    <row r="32" spans="1:5" ht="14.85" customHeight="1" x14ac:dyDescent="0.2">
      <c r="A32" s="440"/>
      <c r="B32" s="441"/>
      <c r="C32" s="447" t="s">
        <v>58</v>
      </c>
      <c r="D32" s="448"/>
      <c r="E32" s="66">
        <v>170.52999999999997</v>
      </c>
    </row>
    <row r="33" spans="1:5" ht="14.85" customHeight="1" x14ac:dyDescent="0.2">
      <c r="A33" s="440"/>
      <c r="B33" s="441"/>
      <c r="C33" s="441" t="s">
        <v>11</v>
      </c>
      <c r="D33" s="44" t="s">
        <v>15</v>
      </c>
      <c r="E33" s="66">
        <v>0</v>
      </c>
    </row>
    <row r="34" spans="1:5" ht="14.85" customHeight="1" x14ac:dyDescent="0.2">
      <c r="A34" s="440"/>
      <c r="B34" s="441"/>
      <c r="C34" s="441"/>
      <c r="D34" s="48" t="s">
        <v>12</v>
      </c>
      <c r="E34" s="66">
        <v>0</v>
      </c>
    </row>
    <row r="35" spans="1:5" ht="14.85" customHeight="1" x14ac:dyDescent="0.2">
      <c r="A35" s="440"/>
      <c r="B35" s="441"/>
      <c r="C35" s="441"/>
      <c r="D35" s="52" t="s">
        <v>110</v>
      </c>
      <c r="E35" s="66">
        <v>0</v>
      </c>
    </row>
    <row r="36" spans="1:5" ht="14.85" customHeight="1" x14ac:dyDescent="0.2">
      <c r="A36" s="440"/>
      <c r="B36" s="441"/>
      <c r="C36" s="441"/>
      <c r="D36" s="49" t="s">
        <v>18</v>
      </c>
      <c r="E36" s="66">
        <v>0</v>
      </c>
    </row>
    <row r="37" spans="1:5" ht="14.85" customHeight="1" x14ac:dyDescent="0.2">
      <c r="A37" s="440"/>
      <c r="B37" s="441"/>
      <c r="C37" s="443" t="s">
        <v>9</v>
      </c>
      <c r="D37" s="443"/>
      <c r="E37" s="66">
        <f>E31-E32</f>
        <v>1716.38</v>
      </c>
    </row>
    <row r="38" spans="1:5" ht="14.85" customHeight="1" x14ac:dyDescent="0.2">
      <c r="A38" s="47" t="s">
        <v>59</v>
      </c>
      <c r="B38" s="441" t="s">
        <v>60</v>
      </c>
      <c r="C38" s="441"/>
      <c r="D38" s="441"/>
      <c r="E38" s="66">
        <v>917.40999999999815</v>
      </c>
    </row>
    <row r="39" spans="1:5" ht="14.85" customHeight="1" x14ac:dyDescent="0.2">
      <c r="A39" s="54"/>
    </row>
  </sheetData>
  <mergeCells count="40">
    <mergeCell ref="B25:D25"/>
    <mergeCell ref="B38:D38"/>
    <mergeCell ref="B29:D29"/>
    <mergeCell ref="B30:D30"/>
    <mergeCell ref="B31:B37"/>
    <mergeCell ref="C31:D31"/>
    <mergeCell ref="C32:D32"/>
    <mergeCell ref="C33:C36"/>
    <mergeCell ref="C37:D37"/>
    <mergeCell ref="C14:D14"/>
    <mergeCell ref="C15:D15"/>
    <mergeCell ref="C16:C19"/>
    <mergeCell ref="C20:D20"/>
    <mergeCell ref="B21:B24"/>
    <mergeCell ref="C21:D21"/>
    <mergeCell ref="C22:C23"/>
    <mergeCell ref="C24:D24"/>
    <mergeCell ref="A6:A37"/>
    <mergeCell ref="B6:B8"/>
    <mergeCell ref="C6:D6"/>
    <mergeCell ref="C7:D7"/>
    <mergeCell ref="C8:D8"/>
    <mergeCell ref="B9:B12"/>
    <mergeCell ref="C9:D9"/>
    <mergeCell ref="C10:D10"/>
    <mergeCell ref="C11:D11"/>
    <mergeCell ref="C12:D12"/>
    <mergeCell ref="B26:B28"/>
    <mergeCell ref="C26:D26"/>
    <mergeCell ref="C27:D27"/>
    <mergeCell ref="C28:D28"/>
    <mergeCell ref="B13:B20"/>
    <mergeCell ref="C13:D13"/>
    <mergeCell ref="A1:I1"/>
    <mergeCell ref="G2:G3"/>
    <mergeCell ref="H2:H3"/>
    <mergeCell ref="I2:I3"/>
    <mergeCell ref="A3:A4"/>
    <mergeCell ref="B3:B4"/>
    <mergeCell ref="E4:F4"/>
  </mergeCells>
  <phoneticPr fontId="4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B3C-F285-499B-9105-70CFF17898EF}">
  <sheetPr codeName="Sheet26"/>
  <dimension ref="A1:J50"/>
  <sheetViews>
    <sheetView workbookViewId="0">
      <selection activeCell="F20" sqref="F20"/>
    </sheetView>
  </sheetViews>
  <sheetFormatPr defaultColWidth="8.75" defaultRowHeight="14.25" x14ac:dyDescent="0.2"/>
  <cols>
    <col min="1" max="1" width="8.75" style="1"/>
    <col min="2" max="2" width="14.375" style="1" customWidth="1"/>
    <col min="3" max="3" width="11.375" style="1" customWidth="1"/>
    <col min="4" max="4" width="10" style="1" bestFit="1" customWidth="1"/>
    <col min="5" max="5" width="10" style="1" customWidth="1"/>
    <col min="6" max="8" width="8.75" style="1"/>
    <col min="9" max="9" width="8.75" style="1" customWidth="1"/>
    <col min="10" max="10" width="9.375" style="1" customWidth="1"/>
    <col min="11" max="16384" width="8.75" style="1"/>
  </cols>
  <sheetData>
    <row r="1" spans="1:10" ht="20.25" x14ac:dyDescent="0.2">
      <c r="A1" s="472">
        <v>2023</v>
      </c>
      <c r="B1" s="472"/>
      <c r="C1" s="472"/>
      <c r="D1" s="472"/>
      <c r="E1" s="472"/>
      <c r="F1" s="472"/>
      <c r="G1" s="472"/>
      <c r="H1" s="472"/>
    </row>
    <row r="2" spans="1:10" x14ac:dyDescent="0.2">
      <c r="A2" s="30" t="s">
        <v>5</v>
      </c>
      <c r="B2" s="30">
        <v>5736.1</v>
      </c>
      <c r="C2" s="29" t="s">
        <v>29</v>
      </c>
      <c r="D2" s="39">
        <f>(B3+D4+D3)</f>
        <v>39641.509999999995</v>
      </c>
      <c r="E2" s="8" t="s">
        <v>30</v>
      </c>
      <c r="F2" s="8">
        <f>B2-D2</f>
        <v>-33905.409999999996</v>
      </c>
      <c r="G2" t="s">
        <v>6</v>
      </c>
      <c r="H2">
        <f>B4*0.4</f>
        <v>-7303.6919999999991</v>
      </c>
    </row>
    <row r="3" spans="1:10" x14ac:dyDescent="0.2">
      <c r="A3" s="8" t="s">
        <v>28</v>
      </c>
      <c r="B3" s="8">
        <f>($E$20+$E$21+$E$29+$E$37+$E$40+$E$41+$E$42+$E$48+$E$47)</f>
        <v>23995.329999999998</v>
      </c>
      <c r="C3" s="8" t="s">
        <v>27</v>
      </c>
      <c r="D3" s="9">
        <f>($E$18+$E$19+$E$31+$E$32+$E$36+$E$45)</f>
        <v>8013.1399999999994</v>
      </c>
      <c r="E3" s="8" t="s">
        <v>32</v>
      </c>
      <c r="F3" s="10">
        <f>B4*0.2</f>
        <v>-3651.8459999999995</v>
      </c>
      <c r="G3" t="s">
        <v>7</v>
      </c>
      <c r="H3">
        <f>B4*0.3</f>
        <v>-5477.7689999999984</v>
      </c>
      <c r="I3" s="13"/>
    </row>
    <row r="4" spans="1:10" x14ac:dyDescent="0.2">
      <c r="A4" s="8" t="s">
        <v>31</v>
      </c>
      <c r="B4" s="8">
        <f>B2-B3</f>
        <v>-18259.229999999996</v>
      </c>
      <c r="C4" s="15" t="s">
        <v>26</v>
      </c>
      <c r="D4" s="9">
        <f>($E$26+$E$27+$E$30+$E$34+$E$35+$E$39+$E$46)</f>
        <v>7633.0400000000009</v>
      </c>
      <c r="E4" s="8" t="s">
        <v>33</v>
      </c>
      <c r="F4" s="10">
        <f>B4*0.3</f>
        <v>-5477.7689999999984</v>
      </c>
      <c r="G4" t="s">
        <v>8</v>
      </c>
      <c r="H4">
        <f>B4-H2-H3</f>
        <v>-5477.7689999999984</v>
      </c>
      <c r="I4" s="7"/>
    </row>
    <row r="5" spans="1:10" x14ac:dyDescent="0.2">
      <c r="A5" t="s">
        <v>48</v>
      </c>
      <c r="B5">
        <f>E20+E22+E23+E24+E37</f>
        <v>13080.96</v>
      </c>
      <c r="C5"/>
      <c r="D5" s="34"/>
      <c r="E5"/>
      <c r="F5" s="35"/>
      <c r="G5"/>
      <c r="H5"/>
      <c r="I5" s="7"/>
    </row>
    <row r="6" spans="1:10" x14ac:dyDescent="0.2">
      <c r="A6" t="s">
        <v>49</v>
      </c>
      <c r="B6" s="36">
        <f>B5/365</f>
        <v>35.838246575342467</v>
      </c>
      <c r="C6"/>
      <c r="D6" s="34"/>
      <c r="E6"/>
      <c r="F6" s="35"/>
      <c r="G6"/>
      <c r="H6"/>
      <c r="I6" s="7"/>
    </row>
    <row r="7" spans="1:10" x14ac:dyDescent="0.2">
      <c r="C7"/>
      <c r="D7" s="34"/>
      <c r="E7"/>
      <c r="F7" s="35"/>
      <c r="G7"/>
      <c r="H7"/>
      <c r="I7" s="7"/>
    </row>
    <row r="8" spans="1:10" ht="15" thickBot="1" x14ac:dyDescent="0.25">
      <c r="A8" s="38">
        <v>1300</v>
      </c>
      <c r="B8"/>
      <c r="C8"/>
      <c r="D8" s="34"/>
      <c r="E8"/>
      <c r="F8" s="35"/>
      <c r="G8"/>
      <c r="H8"/>
      <c r="I8" s="7"/>
    </row>
    <row r="9" spans="1:10" x14ac:dyDescent="0.2">
      <c r="A9" s="11">
        <f>A8*0.2</f>
        <v>260</v>
      </c>
      <c r="B9" s="12" t="s">
        <v>46</v>
      </c>
      <c r="C9" s="18"/>
      <c r="D9" s="19" t="s">
        <v>42</v>
      </c>
      <c r="E9" s="20" t="s">
        <v>36</v>
      </c>
      <c r="F9" s="21"/>
      <c r="G9" s="21"/>
      <c r="H9" s="21"/>
      <c r="I9" s="21"/>
      <c r="J9" s="22"/>
    </row>
    <row r="10" spans="1:10" ht="21" customHeight="1" x14ac:dyDescent="0.2">
      <c r="A10" s="11">
        <f>A8*0.3</f>
        <v>390</v>
      </c>
      <c r="B10" s="12" t="s">
        <v>47</v>
      </c>
      <c r="C10" s="23" t="s">
        <v>45</v>
      </c>
      <c r="D10" s="17">
        <f>D12/14</f>
        <v>1.95</v>
      </c>
      <c r="E10" s="489" t="s">
        <v>39</v>
      </c>
      <c r="F10" s="16" t="str">
        <f ca="1">IF(D10/100*(YEAR(NOW())-2002)&lt;10,"toofew",D10/100*(YEAR(NOW())-2002))</f>
        <v>toofew</v>
      </c>
      <c r="G10" s="489" t="s">
        <v>38</v>
      </c>
      <c r="H10" s="16" t="str">
        <f ca="1">IF(D10/100*(100-(YEAR(NOW())-2002))&gt;10,D10/100*(100-(YEAR(NOW())-2002)),"toofew")</f>
        <v>toofew</v>
      </c>
      <c r="I10" s="491" t="s">
        <v>44</v>
      </c>
      <c r="J10" s="24">
        <f>D10/3*2</f>
        <v>1.3</v>
      </c>
    </row>
    <row r="11" spans="1:10" ht="13.5" customHeight="1" x14ac:dyDescent="0.2">
      <c r="A11" s="11">
        <f>A8*0.4*0.5</f>
        <v>260</v>
      </c>
      <c r="B11" s="12" t="s">
        <v>34</v>
      </c>
      <c r="C11" s="23" t="s">
        <v>37</v>
      </c>
      <c r="D11" s="17">
        <f>D13/30*7</f>
        <v>13.65</v>
      </c>
      <c r="E11" s="489"/>
      <c r="F11" s="16" t="str">
        <f ca="1">IF(D11/100*(YEAR(NOW())-2002)&lt;10,"toofew",D11/100*(YEAR(NOW())-2002))</f>
        <v>toofew</v>
      </c>
      <c r="G11" s="489"/>
      <c r="H11" s="16">
        <f ca="1">D11/100*(100-(YEAR(NOW())-2002))</f>
        <v>10.374000000000001</v>
      </c>
      <c r="I11" s="491"/>
      <c r="J11" s="24">
        <f>D11/3*2</f>
        <v>9.1</v>
      </c>
    </row>
    <row r="12" spans="1:10" ht="28.5" x14ac:dyDescent="0.2">
      <c r="A12" s="11">
        <f>A8*0.3*0.5</f>
        <v>195</v>
      </c>
      <c r="B12" s="14" t="s">
        <v>43</v>
      </c>
      <c r="C12" s="23" t="s">
        <v>40</v>
      </c>
      <c r="D12" s="17">
        <f>D13/30*14</f>
        <v>27.3</v>
      </c>
      <c r="E12" s="489"/>
      <c r="F12" s="16">
        <f ca="1">MAX(D12/100*(YEAR(NOW())-2002),10)</f>
        <v>10</v>
      </c>
      <c r="G12" s="489"/>
      <c r="H12" s="16">
        <f ca="1">D12-F12</f>
        <v>17.3</v>
      </c>
      <c r="I12" s="491"/>
      <c r="J12" s="24">
        <f t="shared" ref="J12:J13" si="0">D12/3*2</f>
        <v>18.2</v>
      </c>
    </row>
    <row r="13" spans="1:10" ht="15" thickBot="1" x14ac:dyDescent="0.25">
      <c r="A13" s="11">
        <f>A12</f>
        <v>195</v>
      </c>
      <c r="B13" s="12" t="s">
        <v>35</v>
      </c>
      <c r="C13" s="25" t="s">
        <v>41</v>
      </c>
      <c r="D13" s="26">
        <f>A13*0.3</f>
        <v>58.5</v>
      </c>
      <c r="E13" s="490"/>
      <c r="F13" s="27">
        <f ca="1">MAX(D13/100*(YEAR(NOW())-2002),10)</f>
        <v>14.04</v>
      </c>
      <c r="G13" s="490"/>
      <c r="H13" s="27">
        <f ca="1">D13-F13</f>
        <v>44.46</v>
      </c>
      <c r="I13" s="492"/>
      <c r="J13" s="28">
        <f t="shared" si="0"/>
        <v>39</v>
      </c>
    </row>
    <row r="14" spans="1:10" x14ac:dyDescent="0.2">
      <c r="C14" s="31"/>
      <c r="D14" s="32"/>
      <c r="E14" s="12"/>
      <c r="F14" s="16"/>
      <c r="G14" s="12"/>
      <c r="H14" s="16"/>
      <c r="I14" s="33"/>
      <c r="J14" s="16"/>
    </row>
    <row r="15" spans="1:10" x14ac:dyDescent="0.2">
      <c r="C15" s="31"/>
      <c r="D15" s="32"/>
      <c r="E15" s="12"/>
      <c r="F15" s="16"/>
      <c r="G15" s="12"/>
      <c r="H15" s="16"/>
      <c r="I15" s="33"/>
      <c r="J15" s="16"/>
    </row>
    <row r="17" spans="1:10" x14ac:dyDescent="0.2">
      <c r="A17" s="493" t="s">
        <v>14</v>
      </c>
      <c r="B17" s="494" t="s">
        <v>13</v>
      </c>
      <c r="C17" s="495" t="s">
        <v>15</v>
      </c>
      <c r="D17" s="495"/>
      <c r="E17" s="40">
        <v>11890.52</v>
      </c>
    </row>
    <row r="18" spans="1:10" x14ac:dyDescent="0.2">
      <c r="A18" s="493"/>
      <c r="B18" s="494"/>
      <c r="C18" s="496" t="s">
        <v>1</v>
      </c>
      <c r="D18" s="496"/>
      <c r="E18" s="40">
        <v>615.86</v>
      </c>
    </row>
    <row r="19" spans="1:10" x14ac:dyDescent="0.2">
      <c r="A19" s="493"/>
      <c r="B19" s="494"/>
      <c r="C19" s="496" t="s">
        <v>0</v>
      </c>
      <c r="D19" s="496"/>
      <c r="E19" s="40">
        <v>382.69</v>
      </c>
    </row>
    <row r="20" spans="1:10" x14ac:dyDescent="0.2">
      <c r="A20" s="493"/>
      <c r="B20" s="494"/>
      <c r="C20" s="497" t="s">
        <v>9</v>
      </c>
      <c r="D20" s="497"/>
      <c r="E20" s="37">
        <f>E17-E18-E19</f>
        <v>10891.97</v>
      </c>
    </row>
    <row r="21" spans="1:10" x14ac:dyDescent="0.2">
      <c r="A21" s="493"/>
      <c r="B21" s="501" t="s">
        <v>16</v>
      </c>
      <c r="C21" s="498" t="s">
        <v>15</v>
      </c>
      <c r="D21" s="499"/>
      <c r="E21" s="40">
        <v>4467.6499999999996</v>
      </c>
    </row>
    <row r="22" spans="1:10" x14ac:dyDescent="0.2">
      <c r="A22" s="493"/>
      <c r="B22" s="502"/>
      <c r="C22" s="498" t="s">
        <v>53</v>
      </c>
      <c r="D22" s="499"/>
      <c r="E22" s="40">
        <v>648.17999999999995</v>
      </c>
    </row>
    <row r="23" spans="1:10" x14ac:dyDescent="0.2">
      <c r="A23" s="493"/>
      <c r="B23" s="502"/>
      <c r="C23" s="498" t="s">
        <v>51</v>
      </c>
      <c r="D23" s="499"/>
      <c r="E23" s="40">
        <v>78.75</v>
      </c>
    </row>
    <row r="24" spans="1:10" x14ac:dyDescent="0.2">
      <c r="A24" s="493"/>
      <c r="B24" s="503"/>
      <c r="C24" s="498" t="s">
        <v>52</v>
      </c>
      <c r="D24" s="499"/>
      <c r="E24" s="40">
        <v>340.24</v>
      </c>
    </row>
    <row r="25" spans="1:10" x14ac:dyDescent="0.2">
      <c r="A25" s="493"/>
      <c r="B25" s="494" t="s">
        <v>10</v>
      </c>
      <c r="C25" s="495" t="s">
        <v>15</v>
      </c>
      <c r="D25" s="495"/>
      <c r="E25" s="40">
        <v>10315.14</v>
      </c>
    </row>
    <row r="26" spans="1:10" x14ac:dyDescent="0.2">
      <c r="A26" s="493"/>
      <c r="B26" s="494"/>
      <c r="C26" s="500" t="s">
        <v>17</v>
      </c>
      <c r="D26" s="500"/>
      <c r="E26" s="40">
        <v>0</v>
      </c>
      <c r="J26" s="16"/>
    </row>
    <row r="27" spans="1:10" x14ac:dyDescent="0.2">
      <c r="A27" s="493"/>
      <c r="B27" s="494"/>
      <c r="C27" s="500" t="s">
        <v>4</v>
      </c>
      <c r="D27" s="500"/>
      <c r="E27" s="40">
        <v>4020.13</v>
      </c>
    </row>
    <row r="28" spans="1:10" x14ac:dyDescent="0.2">
      <c r="A28" s="493"/>
      <c r="B28" s="494"/>
      <c r="C28" s="495" t="s">
        <v>11</v>
      </c>
      <c r="D28" s="3" t="s">
        <v>15</v>
      </c>
      <c r="E28" s="40">
        <v>2667.96</v>
      </c>
    </row>
    <row r="29" spans="1:10" x14ac:dyDescent="0.2">
      <c r="A29" s="493"/>
      <c r="B29" s="494"/>
      <c r="C29" s="495"/>
      <c r="D29" s="5" t="s">
        <v>18</v>
      </c>
      <c r="E29" s="40">
        <f>SUM(F29:W29)</f>
        <v>9.8000000000000007</v>
      </c>
      <c r="F29" s="1">
        <v>9.8000000000000007</v>
      </c>
    </row>
    <row r="30" spans="1:10" x14ac:dyDescent="0.2">
      <c r="A30" s="493"/>
      <c r="B30" s="494"/>
      <c r="C30" s="495"/>
      <c r="D30" s="6" t="s">
        <v>3</v>
      </c>
      <c r="E30" s="40">
        <f>SUM(F30:W30)</f>
        <v>2</v>
      </c>
      <c r="F30" s="1">
        <v>2</v>
      </c>
    </row>
    <row r="31" spans="1:10" x14ac:dyDescent="0.2">
      <c r="A31" s="493"/>
      <c r="B31" s="494"/>
      <c r="C31" s="495"/>
      <c r="D31" s="4" t="s">
        <v>12</v>
      </c>
      <c r="E31" s="40">
        <f>E28-E29-E30</f>
        <v>2656.16</v>
      </c>
    </row>
    <row r="32" spans="1:10" x14ac:dyDescent="0.2">
      <c r="A32" s="493"/>
      <c r="B32" s="494"/>
      <c r="C32" s="496" t="s">
        <v>9</v>
      </c>
      <c r="D32" s="496"/>
      <c r="E32" s="37">
        <f>E25-SUM(E26:E28)</f>
        <v>3627.0499999999993</v>
      </c>
    </row>
    <row r="33" spans="1:5" x14ac:dyDescent="0.2">
      <c r="A33" s="493"/>
      <c r="B33" s="494" t="s">
        <v>19</v>
      </c>
      <c r="C33" s="495" t="s">
        <v>15</v>
      </c>
      <c r="D33" s="495"/>
      <c r="E33" s="40">
        <v>4342.29</v>
      </c>
    </row>
    <row r="34" spans="1:5" x14ac:dyDescent="0.2">
      <c r="A34" s="493"/>
      <c r="B34" s="494"/>
      <c r="C34" s="500" t="s">
        <v>3</v>
      </c>
      <c r="D34" s="6" t="s">
        <v>20</v>
      </c>
      <c r="E34" s="40">
        <v>38.299999999999997</v>
      </c>
    </row>
    <row r="35" spans="1:5" x14ac:dyDescent="0.2">
      <c r="A35" s="493"/>
      <c r="B35" s="494"/>
      <c r="C35" s="500"/>
      <c r="D35" s="6" t="s">
        <v>21</v>
      </c>
      <c r="E35" s="40">
        <v>3572.61</v>
      </c>
    </row>
    <row r="36" spans="1:5" x14ac:dyDescent="0.2">
      <c r="A36" s="493"/>
      <c r="B36" s="494"/>
      <c r="C36" s="496" t="s">
        <v>9</v>
      </c>
      <c r="D36" s="496"/>
      <c r="E36" s="37">
        <f>E33-E34-E35</f>
        <v>731.37999999999965</v>
      </c>
    </row>
    <row r="37" spans="1:5" x14ac:dyDescent="0.2">
      <c r="A37" s="493"/>
      <c r="B37" s="504" t="s">
        <v>22</v>
      </c>
      <c r="C37" s="504"/>
      <c r="D37" s="504"/>
      <c r="E37" s="40">
        <v>1121.82</v>
      </c>
    </row>
    <row r="38" spans="1:5" x14ac:dyDescent="0.2">
      <c r="A38" s="493"/>
      <c r="B38" s="494" t="s">
        <v>23</v>
      </c>
      <c r="C38" s="495" t="s">
        <v>15</v>
      </c>
      <c r="D38" s="495"/>
      <c r="E38" s="40">
        <v>1996.52</v>
      </c>
    </row>
    <row r="39" spans="1:5" x14ac:dyDescent="0.2">
      <c r="A39" s="493"/>
      <c r="B39" s="494"/>
      <c r="C39" s="500" t="s">
        <v>2</v>
      </c>
      <c r="D39" s="500"/>
      <c r="E39" s="40">
        <v>0</v>
      </c>
    </row>
    <row r="40" spans="1:5" x14ac:dyDescent="0.2">
      <c r="A40" s="493"/>
      <c r="B40" s="494"/>
      <c r="C40" s="497" t="s">
        <v>9</v>
      </c>
      <c r="D40" s="497"/>
      <c r="E40" s="37">
        <f>E38-E39</f>
        <v>1996.52</v>
      </c>
    </row>
    <row r="41" spans="1:5" x14ac:dyDescent="0.2">
      <c r="A41" s="493"/>
      <c r="B41" s="504" t="s">
        <v>24</v>
      </c>
      <c r="C41" s="504"/>
      <c r="D41" s="504"/>
      <c r="E41" s="40">
        <v>4937.1099999999997</v>
      </c>
    </row>
    <row r="42" spans="1:5" x14ac:dyDescent="0.2">
      <c r="A42" s="493"/>
      <c r="B42" s="504" t="s">
        <v>25</v>
      </c>
      <c r="C42" s="504"/>
      <c r="D42" s="504"/>
      <c r="E42" s="40">
        <v>286.5</v>
      </c>
    </row>
    <row r="43" spans="1:5" x14ac:dyDescent="0.2">
      <c r="A43" s="493"/>
      <c r="B43" s="494" t="s">
        <v>11</v>
      </c>
      <c r="C43" s="495" t="s">
        <v>15</v>
      </c>
      <c r="D43" s="495"/>
      <c r="E43" s="40">
        <v>283.95999999999998</v>
      </c>
    </row>
    <row r="44" spans="1:5" x14ac:dyDescent="0.2">
      <c r="A44" s="493"/>
      <c r="B44" s="494"/>
      <c r="C44" s="495" t="s">
        <v>11</v>
      </c>
      <c r="D44" s="3" t="s">
        <v>15</v>
      </c>
      <c r="E44" s="40">
        <v>66</v>
      </c>
    </row>
    <row r="45" spans="1:5" x14ac:dyDescent="0.2">
      <c r="A45" s="493"/>
      <c r="B45" s="494"/>
      <c r="C45" s="495"/>
      <c r="D45" s="4" t="s">
        <v>12</v>
      </c>
      <c r="E45" s="40">
        <v>0</v>
      </c>
    </row>
    <row r="46" spans="1:5" x14ac:dyDescent="0.2">
      <c r="A46" s="493"/>
      <c r="B46" s="494"/>
      <c r="C46" s="495"/>
      <c r="D46" s="6" t="s">
        <v>3</v>
      </c>
      <c r="E46" s="40">
        <v>0</v>
      </c>
    </row>
    <row r="47" spans="1:5" x14ac:dyDescent="0.2">
      <c r="A47" s="493"/>
      <c r="B47" s="494"/>
      <c r="C47" s="495"/>
      <c r="D47" s="5" t="s">
        <v>18</v>
      </c>
      <c r="E47" s="41">
        <f>E44-E45-E46</f>
        <v>66</v>
      </c>
    </row>
    <row r="48" spans="1:5" x14ac:dyDescent="0.2">
      <c r="A48" s="493"/>
      <c r="B48" s="494"/>
      <c r="C48" s="497" t="s">
        <v>9</v>
      </c>
      <c r="D48" s="497"/>
      <c r="E48" s="3">
        <f>E43-E44</f>
        <v>217.95999999999998</v>
      </c>
    </row>
    <row r="49" spans="1:4" x14ac:dyDescent="0.2">
      <c r="A49" s="2"/>
      <c r="D49"/>
    </row>
    <row r="50" spans="1:4" x14ac:dyDescent="0.2">
      <c r="A50" s="2"/>
      <c r="D50"/>
    </row>
  </sheetData>
  <mergeCells count="36">
    <mergeCell ref="B41:D41"/>
    <mergeCell ref="B42:D42"/>
    <mergeCell ref="B43:B48"/>
    <mergeCell ref="C43:D43"/>
    <mergeCell ref="C44:C47"/>
    <mergeCell ref="C48:D48"/>
    <mergeCell ref="B33:B36"/>
    <mergeCell ref="C33:D33"/>
    <mergeCell ref="C34:C35"/>
    <mergeCell ref="C36:D36"/>
    <mergeCell ref="B37:D37"/>
    <mergeCell ref="C21:D21"/>
    <mergeCell ref="C22:D22"/>
    <mergeCell ref="C24:D24"/>
    <mergeCell ref="B25:B32"/>
    <mergeCell ref="C25:D25"/>
    <mergeCell ref="C26:D26"/>
    <mergeCell ref="C27:D27"/>
    <mergeCell ref="C28:C31"/>
    <mergeCell ref="C32:D32"/>
    <mergeCell ref="A1:H1"/>
    <mergeCell ref="E10:E13"/>
    <mergeCell ref="G10:G13"/>
    <mergeCell ref="I10:I13"/>
    <mergeCell ref="A17:A48"/>
    <mergeCell ref="B17:B20"/>
    <mergeCell ref="C17:D17"/>
    <mergeCell ref="C18:D18"/>
    <mergeCell ref="C19:D19"/>
    <mergeCell ref="C20:D20"/>
    <mergeCell ref="C23:D23"/>
    <mergeCell ref="B38:B40"/>
    <mergeCell ref="C38:D38"/>
    <mergeCell ref="C39:D39"/>
    <mergeCell ref="C40:D40"/>
    <mergeCell ref="B21:B24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月初</vt:lpstr>
      <vt:lpstr>now</vt:lpstr>
      <vt:lpstr>26.3</vt:lpstr>
      <vt:lpstr>26.2</vt:lpstr>
      <vt:lpstr>26.1</vt:lpstr>
      <vt:lpstr>25.12</vt:lpstr>
      <vt:lpstr>25.11</vt:lpstr>
      <vt:lpstr>25.10</vt:lpstr>
      <vt:lpstr>25.9</vt:lpstr>
      <vt:lpstr>25.8</vt:lpstr>
      <vt:lpstr>25.7</vt:lpstr>
      <vt:lpstr>25.6</vt:lpstr>
      <vt:lpstr>25.5</vt:lpstr>
      <vt:lpstr>25.4</vt:lpstr>
      <vt:lpstr>25.3</vt:lpstr>
      <vt:lpstr>25.2</vt:lpstr>
      <vt:lpstr>25.1</vt:lpstr>
      <vt:lpstr>24.12</vt:lpstr>
      <vt:lpstr>24.11</vt:lpstr>
      <vt:lpstr>24.10</vt:lpstr>
      <vt:lpstr>24.9</vt:lpstr>
      <vt:lpstr>24.8</vt:lpstr>
      <vt:lpstr>24.7</vt:lpstr>
      <vt:lpstr>24.6</vt:lpstr>
      <vt:lpstr>24.5</vt:lpstr>
      <vt:lpstr>24.4</vt:lpstr>
      <vt:lpstr>24.3</vt:lpstr>
      <vt:lpstr>24.2</vt:lpstr>
      <vt:lpstr>24.1</vt:lpstr>
      <vt:lpstr>年</vt:lpstr>
      <vt:lpstr>24</vt:lpstr>
      <vt:lpstr>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yxy</dc:creator>
  <cp:lastModifiedBy>yxy</cp:lastModifiedBy>
  <dcterms:created xsi:type="dcterms:W3CDTF">2024-10-30T02:06:54Z</dcterms:created>
  <dcterms:modified xsi:type="dcterms:W3CDTF">2026-04-11T02:49:43Z</dcterms:modified>
</cp:coreProperties>
</file>